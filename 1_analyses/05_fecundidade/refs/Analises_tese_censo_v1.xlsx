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9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ttarossiferreira/Library/CloudStorage/GoogleDrive-g210545@dac.unicamp.br/Meu Drive/Doutorado/Tese_versao_final/"/>
    </mc:Choice>
  </mc:AlternateContent>
  <xr:revisionPtr revIDLastSave="0" documentId="13_ncr:1_{EC6CF131-0805-C340-9AF7-933211A576BC}" xr6:coauthVersionLast="47" xr6:coauthVersionMax="47" xr10:uidLastSave="{00000000-0000-0000-0000-000000000000}"/>
  <bookViews>
    <workbookView xWindow="0" yWindow="760" windowWidth="29400" windowHeight="17060" xr2:uid="{388F75BC-FE4D-B046-A0E2-C91551895324}"/>
  </bookViews>
  <sheets>
    <sheet name="distribuiçao nas atividades" sheetId="16" r:id="rId1"/>
    <sheet name="parturição_area" sheetId="10" r:id="rId2"/>
    <sheet name="TFT_area_atuacao" sheetId="8" r:id="rId3"/>
    <sheet name="parturição" sheetId="6" state="hidden" r:id="rId4"/>
    <sheet name="descritiva_total" sheetId="11" r:id="rId5"/>
    <sheet name="Planilha1" sheetId="7" r:id="rId6"/>
    <sheet name="childless" sheetId="5" r:id="rId7"/>
    <sheet name="idade_media_primeiro_filho" sheetId="9" r:id="rId8"/>
    <sheet name="part_esco_pub" sheetId="3" r:id="rId9"/>
    <sheet name="Planilha6" sheetId="12" r:id="rId10"/>
    <sheet name="descritiva_func_pub" sheetId="2" r:id="rId11"/>
    <sheet name="TFT_ocupadas" sheetId="4" r:id="rId12"/>
    <sheet name="Planilha7" sheetId="13" state="hidden" r:id="rId13"/>
    <sheet name="var educao" sheetId="14" r:id="rId14"/>
    <sheet name="Planilha9" sheetId="15" r:id="rId15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" i="16" l="1"/>
  <c r="O11" i="16"/>
  <c r="O21" i="16" s="1"/>
  <c r="N11" i="16"/>
  <c r="N24" i="16" s="1"/>
  <c r="M11" i="16"/>
  <c r="M21" i="16" s="1"/>
  <c r="L11" i="16"/>
  <c r="L21" i="16" s="1"/>
  <c r="K11" i="16"/>
  <c r="K21" i="16" s="1"/>
  <c r="G11" i="16"/>
  <c r="G21" i="16" s="1"/>
  <c r="F11" i="16"/>
  <c r="F19" i="16" s="1"/>
  <c r="E11" i="16"/>
  <c r="E24" i="16" s="1"/>
  <c r="D11" i="16"/>
  <c r="D20" i="16" s="1"/>
  <c r="C11" i="16"/>
  <c r="C24" i="16" s="1"/>
  <c r="E48" i="4"/>
  <c r="F48" i="4"/>
  <c r="G48" i="4"/>
  <c r="H48" i="4"/>
  <c r="I48" i="4"/>
  <c r="D48" i="4"/>
  <c r="H46" i="4"/>
  <c r="G46" i="4"/>
  <c r="I46" i="4"/>
  <c r="J46" i="4"/>
  <c r="K46" i="4"/>
  <c r="F46" i="4"/>
  <c r="E46" i="4"/>
  <c r="D46" i="4"/>
  <c r="U38" i="3"/>
  <c r="U37" i="3"/>
  <c r="U36" i="3"/>
  <c r="T38" i="3"/>
  <c r="T37" i="3"/>
  <c r="T36" i="3"/>
  <c r="S38" i="3"/>
  <c r="S37" i="3"/>
  <c r="S36" i="3"/>
  <c r="AB9" i="3"/>
  <c r="AB5" i="3"/>
  <c r="AB6" i="3"/>
  <c r="AB7" i="3"/>
  <c r="AB8" i="3"/>
  <c r="K9" i="3"/>
  <c r="K6" i="3"/>
  <c r="K7" i="3"/>
  <c r="K8" i="3"/>
  <c r="K5" i="3"/>
  <c r="O36" i="2"/>
  <c r="N36" i="2"/>
  <c r="O18" i="2"/>
  <c r="N18" i="2"/>
  <c r="N13" i="2"/>
  <c r="P44" i="2"/>
  <c r="P45" i="2"/>
  <c r="P43" i="2"/>
  <c r="Y31" i="3"/>
  <c r="O34" i="2"/>
  <c r="O35" i="2"/>
  <c r="O33" i="2"/>
  <c r="N34" i="2"/>
  <c r="N35" i="2"/>
  <c r="N33" i="2"/>
  <c r="O27" i="2"/>
  <c r="O28" i="2"/>
  <c r="O29" i="2"/>
  <c r="O30" i="2"/>
  <c r="O26" i="2"/>
  <c r="N27" i="2"/>
  <c r="N28" i="2"/>
  <c r="N29" i="2"/>
  <c r="N30" i="2"/>
  <c r="N26" i="2"/>
  <c r="O14" i="2"/>
  <c r="O15" i="2"/>
  <c r="O16" i="2"/>
  <c r="O17" i="2"/>
  <c r="O13" i="2"/>
  <c r="N14" i="2"/>
  <c r="N15" i="2"/>
  <c r="N16" i="2"/>
  <c r="N17" i="2"/>
  <c r="O10" i="2"/>
  <c r="N10" i="2"/>
  <c r="O9" i="2"/>
  <c r="N9" i="2"/>
  <c r="O8" i="2"/>
  <c r="N8" i="2"/>
  <c r="O5" i="2"/>
  <c r="O4" i="2"/>
  <c r="N5" i="2"/>
  <c r="N4" i="2"/>
  <c r="T7" i="5"/>
  <c r="T6" i="5"/>
  <c r="S7" i="5"/>
  <c r="S6" i="5"/>
  <c r="M12" i="5"/>
  <c r="L12" i="5"/>
  <c r="D12" i="5"/>
  <c r="C12" i="5"/>
  <c r="G117" i="5"/>
  <c r="G116" i="5"/>
  <c r="G115" i="5"/>
  <c r="G114" i="5"/>
  <c r="D115" i="5"/>
  <c r="D116" i="5"/>
  <c r="D117" i="5"/>
  <c r="D114" i="5"/>
  <c r="F117" i="5"/>
  <c r="E117" i="5"/>
  <c r="B117" i="5"/>
  <c r="C117" i="5"/>
  <c r="L50" i="5"/>
  <c r="L10" i="2"/>
  <c r="D12" i="2"/>
  <c r="D7" i="2"/>
  <c r="D8" i="2"/>
  <c r="D9" i="2"/>
  <c r="D10" i="2"/>
  <c r="D11" i="2"/>
  <c r="L9" i="2"/>
  <c r="M10" i="2"/>
  <c r="M9" i="2"/>
  <c r="C16" i="16" l="1"/>
  <c r="C18" i="16"/>
  <c r="C20" i="16"/>
  <c r="D24" i="16"/>
  <c r="E19" i="16"/>
  <c r="N14" i="16"/>
  <c r="N15" i="16"/>
  <c r="N16" i="16"/>
  <c r="N17" i="16"/>
  <c r="N18" i="16"/>
  <c r="N19" i="16"/>
  <c r="N20" i="16"/>
  <c r="N21" i="16"/>
  <c r="O14" i="16"/>
  <c r="O15" i="16"/>
  <c r="O16" i="16"/>
  <c r="O17" i="16"/>
  <c r="O18" i="16"/>
  <c r="O19" i="16"/>
  <c r="O20" i="16"/>
  <c r="C14" i="16"/>
  <c r="C17" i="16"/>
  <c r="C19" i="16"/>
  <c r="D21" i="16"/>
  <c r="E14" i="16"/>
  <c r="E15" i="16"/>
  <c r="E16" i="16"/>
  <c r="E17" i="16"/>
  <c r="E18" i="16"/>
  <c r="E21" i="16"/>
  <c r="F14" i="16"/>
  <c r="F16" i="16"/>
  <c r="F17" i="16"/>
  <c r="F18" i="16"/>
  <c r="F24" i="16"/>
  <c r="G15" i="16"/>
  <c r="G17" i="16"/>
  <c r="G20" i="16"/>
  <c r="K14" i="16"/>
  <c r="K15" i="16"/>
  <c r="K16" i="16"/>
  <c r="K17" i="16"/>
  <c r="K18" i="16"/>
  <c r="K19" i="16"/>
  <c r="K20" i="16"/>
  <c r="L24" i="16"/>
  <c r="C21" i="16"/>
  <c r="D19" i="16"/>
  <c r="E20" i="16"/>
  <c r="F15" i="16"/>
  <c r="F21" i="16"/>
  <c r="G14" i="16"/>
  <c r="G16" i="16"/>
  <c r="G18" i="16"/>
  <c r="G19" i="16"/>
  <c r="L14" i="16"/>
  <c r="L15" i="16"/>
  <c r="L16" i="16"/>
  <c r="L17" i="16"/>
  <c r="L18" i="16"/>
  <c r="L19" i="16"/>
  <c r="L20" i="16"/>
  <c r="M24" i="16"/>
  <c r="C15" i="16"/>
  <c r="D14" i="16"/>
  <c r="D15" i="16"/>
  <c r="D16" i="16"/>
  <c r="D17" i="16"/>
  <c r="D18" i="16"/>
  <c r="K24" i="16"/>
  <c r="M14" i="16"/>
  <c r="M15" i="16"/>
  <c r="M16" i="16"/>
  <c r="M17" i="16"/>
  <c r="M18" i="16"/>
  <c r="M19" i="16"/>
  <c r="M20" i="16"/>
  <c r="E94" i="9" l="1"/>
  <c r="D94" i="9"/>
  <c r="E93" i="9"/>
  <c r="D93" i="9"/>
  <c r="G94" i="9"/>
  <c r="F94" i="9"/>
  <c r="G93" i="9"/>
  <c r="F93" i="9"/>
  <c r="M88" i="9"/>
  <c r="O88" i="9" s="1"/>
  <c r="M87" i="9"/>
  <c r="O87" i="9" s="1"/>
  <c r="M86" i="9"/>
  <c r="O86" i="9" s="1"/>
  <c r="M85" i="9"/>
  <c r="O85" i="9" s="1"/>
  <c r="M84" i="9"/>
  <c r="O84" i="9" s="1"/>
  <c r="M83" i="9"/>
  <c r="O83" i="9" s="1"/>
  <c r="M82" i="9"/>
  <c r="O82" i="9" s="1"/>
  <c r="O89" i="9" s="1"/>
  <c r="E83" i="9"/>
  <c r="E84" i="9"/>
  <c r="E85" i="9"/>
  <c r="E86" i="9"/>
  <c r="E87" i="9"/>
  <c r="G87" i="9" s="1"/>
  <c r="E88" i="9"/>
  <c r="E82" i="9"/>
  <c r="G88" i="9"/>
  <c r="G86" i="9"/>
  <c r="G85" i="9"/>
  <c r="G84" i="9"/>
  <c r="G83" i="9"/>
  <c r="G82" i="9"/>
  <c r="L6" i="10"/>
  <c r="L7" i="10"/>
  <c r="L8" i="10"/>
  <c r="L9" i="10"/>
  <c r="AC30" i="10"/>
  <c r="AC31" i="10"/>
  <c r="AC32" i="10"/>
  <c r="AC33" i="10"/>
  <c r="AC34" i="10"/>
  <c r="AB30" i="10"/>
  <c r="AB31" i="10"/>
  <c r="AB32" i="10"/>
  <c r="AB33" i="10"/>
  <c r="AB34" i="10"/>
  <c r="AC20" i="10"/>
  <c r="AC21" i="10"/>
  <c r="AC22" i="10"/>
  <c r="AC23" i="10"/>
  <c r="AC24" i="10"/>
  <c r="AB20" i="10"/>
  <c r="AB21" i="10"/>
  <c r="AB22" i="10"/>
  <c r="AB23" i="10"/>
  <c r="AB24" i="10"/>
  <c r="M29" i="10"/>
  <c r="M30" i="10"/>
  <c r="M31" i="10"/>
  <c r="M32" i="10"/>
  <c r="M33" i="10"/>
  <c r="L29" i="10"/>
  <c r="L33" i="10"/>
  <c r="L32" i="10"/>
  <c r="L31" i="10"/>
  <c r="L30" i="10"/>
  <c r="K27" i="10"/>
  <c r="M19" i="10"/>
  <c r="M20" i="10"/>
  <c r="M21" i="10"/>
  <c r="M22" i="10"/>
  <c r="M23" i="10"/>
  <c r="L23" i="10"/>
  <c r="L19" i="10"/>
  <c r="L22" i="10"/>
  <c r="L21" i="10"/>
  <c r="N19" i="10"/>
  <c r="P19" i="10" s="1"/>
  <c r="L20" i="10"/>
  <c r="K17" i="10"/>
  <c r="D50" i="5"/>
  <c r="E50" i="5"/>
  <c r="F50" i="5"/>
  <c r="G50" i="5"/>
  <c r="C50" i="5"/>
  <c r="M50" i="5"/>
  <c r="N50" i="5"/>
  <c r="O50" i="5"/>
  <c r="K107" i="5"/>
  <c r="J107" i="5"/>
  <c r="E12" i="5"/>
  <c r="N12" i="5"/>
  <c r="D107" i="5"/>
  <c r="C107" i="5"/>
  <c r="B126" i="5"/>
  <c r="D126" i="5" s="1"/>
  <c r="G128" i="5"/>
  <c r="G127" i="5"/>
  <c r="G126" i="5"/>
  <c r="D127" i="5"/>
  <c r="D128" i="5"/>
  <c r="L105" i="5"/>
  <c r="L104" i="5"/>
  <c r="L103" i="5"/>
  <c r="L102" i="5"/>
  <c r="L101" i="5"/>
  <c r="L100" i="5"/>
  <c r="L99" i="5"/>
  <c r="K106" i="5"/>
  <c r="J106" i="5"/>
  <c r="D106" i="5"/>
  <c r="C106" i="5"/>
  <c r="E100" i="5"/>
  <c r="E101" i="5"/>
  <c r="E102" i="5"/>
  <c r="E103" i="5"/>
  <c r="E104" i="5"/>
  <c r="E105" i="5"/>
  <c r="E99" i="5"/>
  <c r="D77" i="5"/>
  <c r="C77" i="5"/>
  <c r="E76" i="5"/>
  <c r="E75" i="5"/>
  <c r="E74" i="5"/>
  <c r="E73" i="5"/>
  <c r="E72" i="5"/>
  <c r="E71" i="5"/>
  <c r="E70" i="5"/>
  <c r="E69" i="5"/>
  <c r="L73" i="5"/>
  <c r="K77" i="5"/>
  <c r="J77" i="5"/>
  <c r="L70" i="5"/>
  <c r="L71" i="5"/>
  <c r="L72" i="5"/>
  <c r="L74" i="5"/>
  <c r="L75" i="5"/>
  <c r="L76" i="5"/>
  <c r="L69" i="5"/>
  <c r="L58" i="5"/>
  <c r="J63" i="5" s="1"/>
  <c r="L57" i="5"/>
  <c r="J62" i="5" s="1"/>
  <c r="K59" i="5"/>
  <c r="J59" i="5"/>
  <c r="D59" i="5"/>
  <c r="C59" i="5"/>
  <c r="E58" i="5"/>
  <c r="C63" i="5" s="1"/>
  <c r="E57" i="5"/>
  <c r="C62" i="5" s="1"/>
  <c r="I27" i="11"/>
  <c r="I28" i="11"/>
  <c r="I29" i="11"/>
  <c r="I30" i="11"/>
  <c r="I31" i="11"/>
  <c r="I32" i="11"/>
  <c r="I33" i="11"/>
  <c r="I26" i="11"/>
  <c r="D27" i="11"/>
  <c r="D28" i="11"/>
  <c r="D29" i="11"/>
  <c r="D30" i="11"/>
  <c r="D31" i="11"/>
  <c r="D32" i="11"/>
  <c r="D33" i="11"/>
  <c r="D26" i="11"/>
  <c r="D17" i="11"/>
  <c r="C17" i="11"/>
  <c r="D16" i="11"/>
  <c r="C16" i="11"/>
  <c r="C13" i="11"/>
  <c r="D13" i="11"/>
  <c r="B13" i="11"/>
  <c r="D12" i="11"/>
  <c r="C6" i="11"/>
  <c r="D6" i="11"/>
  <c r="B6" i="11"/>
  <c r="D5" i="11"/>
  <c r="F63" i="9"/>
  <c r="F62" i="9"/>
  <c r="F61" i="9"/>
  <c r="F60" i="9"/>
  <c r="AB10" i="10"/>
  <c r="AC10" i="10" s="1"/>
  <c r="L10" i="10"/>
  <c r="M10" i="10" s="1"/>
  <c r="AB9" i="10"/>
  <c r="AB8" i="10"/>
  <c r="AB7" i="10"/>
  <c r="AB6" i="10"/>
  <c r="AA4" i="10"/>
  <c r="K4" i="10"/>
  <c r="AB79" i="10"/>
  <c r="AC79" i="10" s="1"/>
  <c r="L79" i="10"/>
  <c r="AB78" i="10"/>
  <c r="L78" i="10"/>
  <c r="AB77" i="10"/>
  <c r="L77" i="10"/>
  <c r="AB76" i="10"/>
  <c r="L76" i="10"/>
  <c r="AB75" i="10"/>
  <c r="L75" i="10"/>
  <c r="AA73" i="10"/>
  <c r="K73" i="10"/>
  <c r="AB69" i="10"/>
  <c r="L69" i="10"/>
  <c r="M69" i="10" s="1"/>
  <c r="AB68" i="10"/>
  <c r="L68" i="10"/>
  <c r="AB67" i="10"/>
  <c r="L67" i="10"/>
  <c r="AB66" i="10"/>
  <c r="L66" i="10"/>
  <c r="AB65" i="10"/>
  <c r="L65" i="10"/>
  <c r="AA63" i="10"/>
  <c r="K63" i="10"/>
  <c r="AB59" i="10"/>
  <c r="AC59" i="10" s="1"/>
  <c r="L59" i="10"/>
  <c r="M59" i="10" s="1"/>
  <c r="AB58" i="10"/>
  <c r="L58" i="10"/>
  <c r="AB57" i="10"/>
  <c r="L57" i="10"/>
  <c r="AB56" i="10"/>
  <c r="L56" i="10"/>
  <c r="AB55" i="10"/>
  <c r="L55" i="10"/>
  <c r="AA53" i="10"/>
  <c r="K53" i="10"/>
  <c r="AB49" i="10"/>
  <c r="AC49" i="10" s="1"/>
  <c r="L49" i="10"/>
  <c r="M49" i="10" s="1"/>
  <c r="AB48" i="10"/>
  <c r="L48" i="10"/>
  <c r="AB47" i="10"/>
  <c r="L47" i="10"/>
  <c r="AB46" i="10"/>
  <c r="L46" i="10"/>
  <c r="AB45" i="10"/>
  <c r="L45" i="10"/>
  <c r="AA43" i="10"/>
  <c r="K43" i="10"/>
  <c r="F64" i="9"/>
  <c r="E64" i="9"/>
  <c r="E63" i="9"/>
  <c r="E62" i="9"/>
  <c r="E61" i="9"/>
  <c r="E60" i="9"/>
  <c r="E71" i="8"/>
  <c r="E70" i="8"/>
  <c r="E69" i="8"/>
  <c r="E68" i="8"/>
  <c r="E67" i="8"/>
  <c r="D71" i="8"/>
  <c r="D70" i="8"/>
  <c r="D69" i="8"/>
  <c r="G70" i="8"/>
  <c r="F70" i="8"/>
  <c r="F69" i="8"/>
  <c r="G67" i="8"/>
  <c r="F67" i="8"/>
  <c r="D68" i="8"/>
  <c r="D67" i="8"/>
  <c r="G71" i="8"/>
  <c r="F71" i="8"/>
  <c r="G69" i="8"/>
  <c r="G68" i="8"/>
  <c r="F68" i="8"/>
  <c r="C70" i="8"/>
  <c r="C69" i="8"/>
  <c r="C68" i="8"/>
  <c r="C67" i="8"/>
  <c r="L42" i="5"/>
  <c r="O48" i="5"/>
  <c r="N48" i="5"/>
  <c r="M48" i="5"/>
  <c r="L48" i="5"/>
  <c r="K48" i="5"/>
  <c r="O47" i="5"/>
  <c r="N47" i="5"/>
  <c r="M47" i="5"/>
  <c r="L47" i="5"/>
  <c r="K47" i="5"/>
  <c r="O46" i="5"/>
  <c r="N46" i="5"/>
  <c r="M46" i="5"/>
  <c r="L46" i="5"/>
  <c r="K46" i="5"/>
  <c r="O45" i="5"/>
  <c r="N45" i="5"/>
  <c r="M45" i="5"/>
  <c r="L45" i="5"/>
  <c r="K45" i="5"/>
  <c r="O44" i="5"/>
  <c r="N44" i="5"/>
  <c r="M44" i="5"/>
  <c r="L44" i="5"/>
  <c r="K44" i="5"/>
  <c r="O43" i="5"/>
  <c r="N43" i="5"/>
  <c r="M43" i="5"/>
  <c r="L43" i="5"/>
  <c r="K43" i="5"/>
  <c r="O42" i="5"/>
  <c r="N42" i="5"/>
  <c r="M42" i="5"/>
  <c r="K42" i="5"/>
  <c r="P37" i="5"/>
  <c r="P36" i="5"/>
  <c r="P35" i="5"/>
  <c r="P34" i="5"/>
  <c r="P33" i="5"/>
  <c r="P32" i="5"/>
  <c r="P31" i="5"/>
  <c r="O38" i="5"/>
  <c r="N38" i="5"/>
  <c r="M38" i="5"/>
  <c r="L38" i="5"/>
  <c r="O26" i="5"/>
  <c r="N26" i="5"/>
  <c r="M26" i="5"/>
  <c r="L26" i="5"/>
  <c r="P25" i="5"/>
  <c r="P24" i="5"/>
  <c r="P50" i="5" s="1"/>
  <c r="P23" i="5"/>
  <c r="P22" i="5"/>
  <c r="P21" i="5"/>
  <c r="P20" i="5"/>
  <c r="P19" i="5"/>
  <c r="M11" i="5"/>
  <c r="L11" i="5"/>
  <c r="N10" i="5"/>
  <c r="N9" i="5"/>
  <c r="N8" i="5"/>
  <c r="N7" i="5"/>
  <c r="N6" i="5"/>
  <c r="N5" i="5"/>
  <c r="N4" i="5"/>
  <c r="D11" i="5"/>
  <c r="C11" i="5"/>
  <c r="G37" i="5"/>
  <c r="G36" i="5"/>
  <c r="G35" i="5"/>
  <c r="G34" i="5"/>
  <c r="G33" i="5"/>
  <c r="G32" i="5"/>
  <c r="G31" i="5"/>
  <c r="G20" i="5"/>
  <c r="G21" i="5"/>
  <c r="G22" i="5"/>
  <c r="G23" i="5"/>
  <c r="G24" i="5"/>
  <c r="G25" i="5"/>
  <c r="G19" i="5"/>
  <c r="D42" i="5"/>
  <c r="E42" i="5"/>
  <c r="F42" i="5"/>
  <c r="D43" i="5"/>
  <c r="E43" i="5"/>
  <c r="F43" i="5"/>
  <c r="D44" i="5"/>
  <c r="E44" i="5"/>
  <c r="F44" i="5"/>
  <c r="D45" i="5"/>
  <c r="E45" i="5"/>
  <c r="F45" i="5"/>
  <c r="D46" i="5"/>
  <c r="E46" i="5"/>
  <c r="F46" i="5"/>
  <c r="D47" i="5"/>
  <c r="E47" i="5"/>
  <c r="F47" i="5"/>
  <c r="D48" i="5"/>
  <c r="E48" i="5"/>
  <c r="F48" i="5"/>
  <c r="F38" i="5"/>
  <c r="E38" i="5"/>
  <c r="D38" i="5"/>
  <c r="C38" i="5"/>
  <c r="D26" i="5"/>
  <c r="E26" i="5"/>
  <c r="F26" i="5"/>
  <c r="C26" i="5"/>
  <c r="B43" i="5"/>
  <c r="B44" i="5"/>
  <c r="B45" i="5"/>
  <c r="B46" i="5"/>
  <c r="B47" i="5"/>
  <c r="B48" i="5"/>
  <c r="B42" i="5"/>
  <c r="C43" i="5"/>
  <c r="C44" i="5"/>
  <c r="C45" i="5"/>
  <c r="C46" i="5"/>
  <c r="C47" i="5"/>
  <c r="C48" i="5"/>
  <c r="C42" i="5"/>
  <c r="M47" i="9"/>
  <c r="N47" i="9"/>
  <c r="O47" i="9"/>
  <c r="M48" i="9"/>
  <c r="N48" i="9"/>
  <c r="O48" i="9"/>
  <c r="M49" i="9"/>
  <c r="N49" i="9"/>
  <c r="O49" i="9"/>
  <c r="M50" i="9"/>
  <c r="N50" i="9"/>
  <c r="O50" i="9"/>
  <c r="M51" i="9"/>
  <c r="N51" i="9"/>
  <c r="O51" i="9"/>
  <c r="M52" i="9"/>
  <c r="N52" i="9"/>
  <c r="O52" i="9"/>
  <c r="M53" i="9"/>
  <c r="N53" i="9"/>
  <c r="O53" i="9"/>
  <c r="L48" i="9"/>
  <c r="L49" i="9"/>
  <c r="L50" i="9"/>
  <c r="L51" i="9"/>
  <c r="L52" i="9"/>
  <c r="L53" i="9"/>
  <c r="L47" i="9"/>
  <c r="O44" i="9"/>
  <c r="N44" i="9"/>
  <c r="M44" i="9"/>
  <c r="L44" i="9"/>
  <c r="O43" i="9"/>
  <c r="N43" i="9"/>
  <c r="M43" i="9"/>
  <c r="L43" i="9"/>
  <c r="O42" i="9"/>
  <c r="N42" i="9"/>
  <c r="M42" i="9"/>
  <c r="L42" i="9"/>
  <c r="O41" i="9"/>
  <c r="N41" i="9"/>
  <c r="M41" i="9"/>
  <c r="L41" i="9"/>
  <c r="O40" i="9"/>
  <c r="N40" i="9"/>
  <c r="M40" i="9"/>
  <c r="L40" i="9"/>
  <c r="O39" i="9"/>
  <c r="N39" i="9"/>
  <c r="M39" i="9"/>
  <c r="L39" i="9"/>
  <c r="O38" i="9"/>
  <c r="N38" i="9"/>
  <c r="M38" i="9"/>
  <c r="L38" i="9"/>
  <c r="N10" i="9"/>
  <c r="P10" i="9" s="1"/>
  <c r="N9" i="9"/>
  <c r="P9" i="9" s="1"/>
  <c r="N8" i="9"/>
  <c r="P8" i="9" s="1"/>
  <c r="N7" i="9"/>
  <c r="P7" i="9" s="1"/>
  <c r="P6" i="9"/>
  <c r="N6" i="9"/>
  <c r="P5" i="9"/>
  <c r="N5" i="9"/>
  <c r="N4" i="9"/>
  <c r="D54" i="9"/>
  <c r="E54" i="9"/>
  <c r="F54" i="9"/>
  <c r="C54" i="9"/>
  <c r="D47" i="9"/>
  <c r="E47" i="9"/>
  <c r="F47" i="9"/>
  <c r="D48" i="9"/>
  <c r="E48" i="9"/>
  <c r="F48" i="9"/>
  <c r="D49" i="9"/>
  <c r="E49" i="9"/>
  <c r="F49" i="9"/>
  <c r="D50" i="9"/>
  <c r="E50" i="9"/>
  <c r="F50" i="9"/>
  <c r="D51" i="9"/>
  <c r="E51" i="9"/>
  <c r="F51" i="9"/>
  <c r="D52" i="9"/>
  <c r="E52" i="9"/>
  <c r="F52" i="9"/>
  <c r="D53" i="9"/>
  <c r="E53" i="9"/>
  <c r="F53" i="9"/>
  <c r="C48" i="9"/>
  <c r="C47" i="9"/>
  <c r="C49" i="9"/>
  <c r="C50" i="9"/>
  <c r="C51" i="9"/>
  <c r="C52" i="9"/>
  <c r="C53" i="9"/>
  <c r="D38" i="9"/>
  <c r="E38" i="9"/>
  <c r="F38" i="9"/>
  <c r="D39" i="9"/>
  <c r="E39" i="9"/>
  <c r="F39" i="9"/>
  <c r="D40" i="9"/>
  <c r="E40" i="9"/>
  <c r="F40" i="9"/>
  <c r="D41" i="9"/>
  <c r="E41" i="9"/>
  <c r="F41" i="9"/>
  <c r="D42" i="9"/>
  <c r="E42" i="9"/>
  <c r="F42" i="9"/>
  <c r="D43" i="9"/>
  <c r="E43" i="9"/>
  <c r="F43" i="9"/>
  <c r="D44" i="9"/>
  <c r="E44" i="9"/>
  <c r="F44" i="9"/>
  <c r="C39" i="9"/>
  <c r="C40" i="9"/>
  <c r="C41" i="9"/>
  <c r="C42" i="9"/>
  <c r="C43" i="9"/>
  <c r="C44" i="9"/>
  <c r="C38" i="9"/>
  <c r="E4" i="9"/>
  <c r="G4" i="9" s="1"/>
  <c r="E5" i="9"/>
  <c r="G5" i="9" s="1"/>
  <c r="E6" i="9"/>
  <c r="G6" i="9" s="1"/>
  <c r="E7" i="9"/>
  <c r="G7" i="9" s="1"/>
  <c r="E8" i="9"/>
  <c r="G8" i="9" s="1"/>
  <c r="E9" i="9"/>
  <c r="G9" i="9" s="1"/>
  <c r="E10" i="9"/>
  <c r="G10" i="9" s="1"/>
  <c r="K44" i="2"/>
  <c r="K45" i="2"/>
  <c r="K46" i="2"/>
  <c r="K47" i="2"/>
  <c r="K43" i="2"/>
  <c r="D44" i="2"/>
  <c r="D45" i="2"/>
  <c r="D46" i="2"/>
  <c r="D47" i="2"/>
  <c r="D43" i="2"/>
  <c r="J47" i="2"/>
  <c r="C47" i="2"/>
  <c r="S44" i="8"/>
  <c r="R20" i="8"/>
  <c r="N13" i="8"/>
  <c r="O13" i="8" s="1"/>
  <c r="Q13" i="8" s="1"/>
  <c r="F13" i="8"/>
  <c r="H13" i="8" s="1"/>
  <c r="N12" i="8"/>
  <c r="O12" i="8" s="1"/>
  <c r="Q12" i="8" s="1"/>
  <c r="F12" i="8"/>
  <c r="H12" i="8" s="1"/>
  <c r="N11" i="8"/>
  <c r="O11" i="8" s="1"/>
  <c r="Q11" i="8" s="1"/>
  <c r="F11" i="8"/>
  <c r="H11" i="8" s="1"/>
  <c r="N10" i="8"/>
  <c r="O10" i="8" s="1"/>
  <c r="Q10" i="8" s="1"/>
  <c r="F10" i="8"/>
  <c r="H10" i="8" s="1"/>
  <c r="N9" i="8"/>
  <c r="O9" i="8" s="1"/>
  <c r="Q9" i="8" s="1"/>
  <c r="F9" i="8"/>
  <c r="H9" i="8" s="1"/>
  <c r="N8" i="8"/>
  <c r="O8" i="8" s="1"/>
  <c r="Q8" i="8" s="1"/>
  <c r="F8" i="8"/>
  <c r="H8" i="8" s="1"/>
  <c r="N7" i="8"/>
  <c r="O7" i="8" s="1"/>
  <c r="F7" i="8"/>
  <c r="H7" i="8" s="1"/>
  <c r="O5" i="8"/>
  <c r="F5" i="8"/>
  <c r="F20" i="8"/>
  <c r="H20" i="8" s="1"/>
  <c r="L107" i="5" l="1"/>
  <c r="E106" i="5"/>
  <c r="E107" i="5"/>
  <c r="L106" i="5"/>
  <c r="G89" i="9"/>
  <c r="AD32" i="10"/>
  <c r="AD23" i="10"/>
  <c r="AD20" i="10"/>
  <c r="AD21" i="10"/>
  <c r="AD22" i="10"/>
  <c r="AF20" i="10"/>
  <c r="N30" i="10"/>
  <c r="N29" i="10"/>
  <c r="N31" i="10"/>
  <c r="N22" i="10"/>
  <c r="N20" i="10"/>
  <c r="M9" i="10"/>
  <c r="M8" i="10"/>
  <c r="E77" i="5"/>
  <c r="G43" i="5"/>
  <c r="N11" i="5"/>
  <c r="J64" i="5" s="1"/>
  <c r="P47" i="5"/>
  <c r="C49" i="5"/>
  <c r="G48" i="5"/>
  <c r="G47" i="5"/>
  <c r="M49" i="5"/>
  <c r="P48" i="5"/>
  <c r="G45" i="5"/>
  <c r="N49" i="5"/>
  <c r="G44" i="5"/>
  <c r="L59" i="5"/>
  <c r="L77" i="5"/>
  <c r="G46" i="5"/>
  <c r="P46" i="5"/>
  <c r="P43" i="5"/>
  <c r="P38" i="5"/>
  <c r="P44" i="5"/>
  <c r="P42" i="5"/>
  <c r="O49" i="5"/>
  <c r="P45" i="5"/>
  <c r="E59" i="5"/>
  <c r="G42" i="5"/>
  <c r="F49" i="5"/>
  <c r="E49" i="5"/>
  <c r="E11" i="5"/>
  <c r="C64" i="5" s="1"/>
  <c r="D49" i="5"/>
  <c r="G38" i="5"/>
  <c r="P26" i="5"/>
  <c r="L49" i="5"/>
  <c r="AC9" i="10"/>
  <c r="AC8" i="10"/>
  <c r="M6" i="10"/>
  <c r="M46" i="10"/>
  <c r="AC6" i="10"/>
  <c r="AC78" i="10"/>
  <c r="AD78" i="10" s="1"/>
  <c r="M7" i="10"/>
  <c r="M47" i="10"/>
  <c r="AC7" i="10"/>
  <c r="N9" i="10"/>
  <c r="N8" i="10"/>
  <c r="AD8" i="10"/>
  <c r="AD9" i="10"/>
  <c r="M45" i="10"/>
  <c r="N45" i="10" s="1"/>
  <c r="M68" i="10"/>
  <c r="N68" i="10" s="1"/>
  <c r="M77" i="10"/>
  <c r="AC65" i="10"/>
  <c r="M67" i="10"/>
  <c r="AC58" i="10"/>
  <c r="AD58" i="10" s="1"/>
  <c r="AC67" i="10"/>
  <c r="AC45" i="10"/>
  <c r="AC68" i="10"/>
  <c r="M78" i="10"/>
  <c r="AC57" i="10"/>
  <c r="M66" i="10"/>
  <c r="M57" i="10"/>
  <c r="N56" i="10" s="1"/>
  <c r="AC66" i="10"/>
  <c r="M75" i="10"/>
  <c r="M55" i="10"/>
  <c r="M48" i="10"/>
  <c r="N48" i="10" s="1"/>
  <c r="M56" i="10"/>
  <c r="AC75" i="10"/>
  <c r="AC46" i="10"/>
  <c r="AC48" i="10"/>
  <c r="AD48" i="10" s="1"/>
  <c r="AC55" i="10"/>
  <c r="M65" i="10"/>
  <c r="AC76" i="10"/>
  <c r="M58" i="10"/>
  <c r="AC69" i="10"/>
  <c r="M79" i="10"/>
  <c r="AC77" i="10"/>
  <c r="AC47" i="10"/>
  <c r="AC56" i="10"/>
  <c r="M76" i="10"/>
  <c r="G26" i="5"/>
  <c r="N54" i="9"/>
  <c r="O54" i="9"/>
  <c r="L54" i="9"/>
  <c r="M54" i="9"/>
  <c r="P4" i="9"/>
  <c r="P11" i="9" s="1"/>
  <c r="G11" i="9"/>
  <c r="H14" i="8"/>
  <c r="O14" i="8"/>
  <c r="Q7" i="8"/>
  <c r="Q14" i="8" s="1"/>
  <c r="F14" i="8"/>
  <c r="N6" i="10" l="1"/>
  <c r="AD30" i="10"/>
  <c r="AD31" i="10"/>
  <c r="AD33" i="10"/>
  <c r="N32" i="10"/>
  <c r="P29" i="10" s="1"/>
  <c r="N21" i="10"/>
  <c r="N67" i="10"/>
  <c r="N46" i="10"/>
  <c r="P49" i="5"/>
  <c r="G49" i="5"/>
  <c r="AD67" i="10"/>
  <c r="N75" i="10"/>
  <c r="AD6" i="10"/>
  <c r="AD57" i="10"/>
  <c r="N65" i="10"/>
  <c r="N7" i="10"/>
  <c r="P6" i="10" s="1"/>
  <c r="C64" i="9" s="1"/>
  <c r="AD68" i="10"/>
  <c r="N47" i="10"/>
  <c r="P45" i="10" s="1"/>
  <c r="C60" i="9" s="1"/>
  <c r="AD7" i="10"/>
  <c r="N77" i="10"/>
  <c r="AD47" i="10"/>
  <c r="AD55" i="10"/>
  <c r="AD45" i="10"/>
  <c r="AD66" i="10"/>
  <c r="N78" i="10"/>
  <c r="N55" i="10"/>
  <c r="N66" i="10"/>
  <c r="N57" i="10"/>
  <c r="AD65" i="10"/>
  <c r="AD76" i="10"/>
  <c r="AD46" i="10"/>
  <c r="AD75" i="10"/>
  <c r="AD77" i="10"/>
  <c r="N76" i="10"/>
  <c r="AD56" i="10"/>
  <c r="N58" i="10"/>
  <c r="AF30" i="10" l="1"/>
  <c r="AF6" i="10"/>
  <c r="D64" i="9" s="1"/>
  <c r="P65" i="10"/>
  <c r="C63" i="9" s="1"/>
  <c r="AF45" i="10"/>
  <c r="D60" i="9" s="1"/>
  <c r="AF55" i="10"/>
  <c r="D61" i="9" s="1"/>
  <c r="P55" i="10"/>
  <c r="C61" i="9" s="1"/>
  <c r="AF65" i="10"/>
  <c r="D63" i="9" s="1"/>
  <c r="P75" i="10"/>
  <c r="C62" i="9" s="1"/>
  <c r="AF75" i="10"/>
  <c r="D62" i="9" s="1"/>
  <c r="R62" i="8" l="1"/>
  <c r="F62" i="8"/>
  <c r="H62" i="8" s="1"/>
  <c r="R61" i="8"/>
  <c r="S61" i="8" s="1"/>
  <c r="U61" i="8" s="1"/>
  <c r="F61" i="8"/>
  <c r="H61" i="8" s="1"/>
  <c r="R60" i="8"/>
  <c r="F60" i="8"/>
  <c r="H60" i="8" s="1"/>
  <c r="R59" i="8"/>
  <c r="S59" i="8" s="1"/>
  <c r="U59" i="8" s="1"/>
  <c r="F59" i="8"/>
  <c r="H59" i="8" s="1"/>
  <c r="R58" i="8"/>
  <c r="F58" i="8"/>
  <c r="H58" i="8" s="1"/>
  <c r="R57" i="8"/>
  <c r="S57" i="8" s="1"/>
  <c r="U57" i="8" s="1"/>
  <c r="F57" i="8"/>
  <c r="R56" i="8"/>
  <c r="F56" i="8"/>
  <c r="H56" i="8" s="1"/>
  <c r="S54" i="8"/>
  <c r="F54" i="8"/>
  <c r="R50" i="8"/>
  <c r="S50" i="8" s="1"/>
  <c r="U50" i="8" s="1"/>
  <c r="F50" i="8"/>
  <c r="H50" i="8" s="1"/>
  <c r="R49" i="8"/>
  <c r="F49" i="8"/>
  <c r="H49" i="8" s="1"/>
  <c r="R48" i="8"/>
  <c r="S48" i="8" s="1"/>
  <c r="U48" i="8" s="1"/>
  <c r="F48" i="8"/>
  <c r="H48" i="8" s="1"/>
  <c r="R47" i="8"/>
  <c r="F47" i="8"/>
  <c r="H47" i="8" s="1"/>
  <c r="R46" i="8"/>
  <c r="S46" i="8" s="1"/>
  <c r="U46" i="8" s="1"/>
  <c r="F46" i="8"/>
  <c r="H46" i="8" s="1"/>
  <c r="R45" i="8"/>
  <c r="F45" i="8"/>
  <c r="R44" i="8"/>
  <c r="U44" i="8" s="1"/>
  <c r="F44" i="8"/>
  <c r="H44" i="8" s="1"/>
  <c r="S42" i="8"/>
  <c r="F42" i="8"/>
  <c r="R38" i="8"/>
  <c r="S38" i="8" s="1"/>
  <c r="U38" i="8" s="1"/>
  <c r="F38" i="8"/>
  <c r="H38" i="8" s="1"/>
  <c r="R37" i="8"/>
  <c r="S37" i="8" s="1"/>
  <c r="U37" i="8" s="1"/>
  <c r="F37" i="8"/>
  <c r="H37" i="8" s="1"/>
  <c r="R36" i="8"/>
  <c r="S36" i="8" s="1"/>
  <c r="U36" i="8" s="1"/>
  <c r="F36" i="8"/>
  <c r="H36" i="8" s="1"/>
  <c r="R35" i="8"/>
  <c r="S35" i="8" s="1"/>
  <c r="U35" i="8" s="1"/>
  <c r="F35" i="8"/>
  <c r="H35" i="8" s="1"/>
  <c r="R34" i="8"/>
  <c r="S34" i="8" s="1"/>
  <c r="U34" i="8" s="1"/>
  <c r="F34" i="8"/>
  <c r="H34" i="8" s="1"/>
  <c r="R33" i="8"/>
  <c r="F33" i="8"/>
  <c r="R32" i="8"/>
  <c r="S32" i="8" s="1"/>
  <c r="U32" i="8" s="1"/>
  <c r="F32" i="8"/>
  <c r="H32" i="8" s="1"/>
  <c r="S30" i="8"/>
  <c r="F30" i="8"/>
  <c r="R26" i="8"/>
  <c r="S26" i="8" s="1"/>
  <c r="U26" i="8" s="1"/>
  <c r="F26" i="8"/>
  <c r="H26" i="8" s="1"/>
  <c r="R25" i="8"/>
  <c r="S25" i="8" s="1"/>
  <c r="U25" i="8" s="1"/>
  <c r="F25" i="8"/>
  <c r="H25" i="8" s="1"/>
  <c r="R24" i="8"/>
  <c r="S24" i="8" s="1"/>
  <c r="U24" i="8" s="1"/>
  <c r="F24" i="8"/>
  <c r="H24" i="8" s="1"/>
  <c r="R23" i="8"/>
  <c r="F23" i="8"/>
  <c r="H23" i="8" s="1"/>
  <c r="R22" i="8"/>
  <c r="S22" i="8" s="1"/>
  <c r="U22" i="8" s="1"/>
  <c r="F22" i="8"/>
  <c r="H22" i="8" s="1"/>
  <c r="R21" i="8"/>
  <c r="S21" i="8" s="1"/>
  <c r="U21" i="8" s="1"/>
  <c r="F21" i="8"/>
  <c r="S20" i="8"/>
  <c r="U20" i="8" s="1"/>
  <c r="S18" i="8"/>
  <c r="F18" i="8"/>
  <c r="F63" i="8" l="1"/>
  <c r="H57" i="8"/>
  <c r="H63" i="8"/>
  <c r="F51" i="8"/>
  <c r="H45" i="8"/>
  <c r="H51" i="8" s="1"/>
  <c r="U27" i="8"/>
  <c r="F39" i="8"/>
  <c r="H33" i="8"/>
  <c r="H39" i="8" s="1"/>
  <c r="F27" i="8"/>
  <c r="H21" i="8"/>
  <c r="H27" i="8" s="1"/>
  <c r="S60" i="8"/>
  <c r="U60" i="8" s="1"/>
  <c r="S23" i="8"/>
  <c r="U23" i="8" s="1"/>
  <c r="S56" i="8"/>
  <c r="U56" i="8" s="1"/>
  <c r="S62" i="8"/>
  <c r="U62" i="8" s="1"/>
  <c r="S33" i="8"/>
  <c r="S45" i="8"/>
  <c r="U45" i="8" s="1"/>
  <c r="S47" i="8"/>
  <c r="U47" i="8" s="1"/>
  <c r="S49" i="8"/>
  <c r="U49" i="8" s="1"/>
  <c r="S58" i="8"/>
  <c r="U58" i="8" s="1"/>
  <c r="S51" i="8" l="1"/>
  <c r="U51" i="8"/>
  <c r="U63" i="8"/>
  <c r="S27" i="8"/>
  <c r="S39" i="8"/>
  <c r="U33" i="8"/>
  <c r="U39" i="8" s="1"/>
  <c r="S63" i="8"/>
  <c r="E10" i="5" l="1"/>
  <c r="E9" i="5"/>
  <c r="E8" i="5"/>
  <c r="E7" i="5"/>
  <c r="E6" i="5"/>
  <c r="E5" i="5"/>
  <c r="E4" i="5"/>
  <c r="D13" i="7"/>
  <c r="F49" i="7"/>
  <c r="I35" i="2"/>
  <c r="M34" i="2" s="1"/>
  <c r="I36" i="2"/>
  <c r="M35" i="2" s="1"/>
  <c r="I34" i="2"/>
  <c r="M33" i="2" s="1"/>
  <c r="H142" i="7"/>
  <c r="C141" i="7"/>
  <c r="D141" i="7"/>
  <c r="E141" i="7"/>
  <c r="F141" i="7"/>
  <c r="G141" i="7"/>
  <c r="H141" i="7"/>
  <c r="I141" i="7"/>
  <c r="J141" i="7"/>
  <c r="B141" i="7"/>
  <c r="H145" i="7"/>
  <c r="H146" i="7"/>
  <c r="H147" i="7"/>
  <c r="H148" i="7"/>
  <c r="H149" i="7"/>
  <c r="H150" i="7"/>
  <c r="H151" i="7"/>
  <c r="H152" i="7"/>
  <c r="H153" i="7"/>
  <c r="H154" i="7"/>
  <c r="H155" i="7"/>
  <c r="I155" i="7" s="1"/>
  <c r="H156" i="7"/>
  <c r="H144" i="7"/>
  <c r="D126" i="7"/>
  <c r="E126" i="7"/>
  <c r="F126" i="7"/>
  <c r="M126" i="7" s="1"/>
  <c r="G126" i="7"/>
  <c r="N126" i="7" s="1"/>
  <c r="H126" i="7"/>
  <c r="O126" i="7" s="1"/>
  <c r="D127" i="7"/>
  <c r="K127" i="7" s="1"/>
  <c r="E127" i="7"/>
  <c r="L127" i="7" s="1"/>
  <c r="F127" i="7"/>
  <c r="M127" i="7" s="1"/>
  <c r="G127" i="7"/>
  <c r="N127" i="7" s="1"/>
  <c r="H127" i="7"/>
  <c r="O127" i="7" s="1"/>
  <c r="D128" i="7"/>
  <c r="K128" i="7" s="1"/>
  <c r="E128" i="7"/>
  <c r="L128" i="7" s="1"/>
  <c r="F128" i="7"/>
  <c r="M128" i="7" s="1"/>
  <c r="G128" i="7"/>
  <c r="N128" i="7" s="1"/>
  <c r="H128" i="7"/>
  <c r="O128" i="7" s="1"/>
  <c r="D129" i="7"/>
  <c r="E129" i="7"/>
  <c r="L129" i="7" s="1"/>
  <c r="F129" i="7"/>
  <c r="M129" i="7" s="1"/>
  <c r="G129" i="7"/>
  <c r="N129" i="7" s="1"/>
  <c r="H129" i="7"/>
  <c r="O129" i="7" s="1"/>
  <c r="D130" i="7"/>
  <c r="E130" i="7"/>
  <c r="L130" i="7" s="1"/>
  <c r="F130" i="7"/>
  <c r="M130" i="7" s="1"/>
  <c r="G130" i="7"/>
  <c r="N130" i="7" s="1"/>
  <c r="H130" i="7"/>
  <c r="O130" i="7" s="1"/>
  <c r="D131" i="7"/>
  <c r="E131" i="7"/>
  <c r="L131" i="7" s="1"/>
  <c r="F131" i="7"/>
  <c r="M131" i="7" s="1"/>
  <c r="G131" i="7"/>
  <c r="N131" i="7" s="1"/>
  <c r="H131" i="7"/>
  <c r="O131" i="7" s="1"/>
  <c r="D132" i="7"/>
  <c r="E132" i="7"/>
  <c r="F132" i="7"/>
  <c r="G132" i="7"/>
  <c r="N132" i="7" s="1"/>
  <c r="H132" i="7"/>
  <c r="O132" i="7" s="1"/>
  <c r="C127" i="7"/>
  <c r="J127" i="7" s="1"/>
  <c r="C128" i="7"/>
  <c r="J128" i="7" s="1"/>
  <c r="C129" i="7"/>
  <c r="J129" i="7" s="1"/>
  <c r="C130" i="7"/>
  <c r="J130" i="7" s="1"/>
  <c r="C131" i="7"/>
  <c r="J131" i="7" s="1"/>
  <c r="C132" i="7"/>
  <c r="J132" i="7" s="1"/>
  <c r="C126" i="7"/>
  <c r="J126" i="7" s="1"/>
  <c r="M132" i="7"/>
  <c r="L132" i="7"/>
  <c r="K132" i="7"/>
  <c r="B132" i="7"/>
  <c r="K131" i="7"/>
  <c r="B131" i="7"/>
  <c r="K130" i="7"/>
  <c r="B130" i="7"/>
  <c r="K129" i="7"/>
  <c r="B129" i="7"/>
  <c r="B128" i="7"/>
  <c r="B127" i="7"/>
  <c r="L126" i="7"/>
  <c r="K126" i="7"/>
  <c r="B126" i="7"/>
  <c r="O124" i="7"/>
  <c r="N124" i="7"/>
  <c r="M124" i="7"/>
  <c r="L124" i="7"/>
  <c r="K124" i="7"/>
  <c r="J124" i="7"/>
  <c r="K103" i="7"/>
  <c r="L103" i="7"/>
  <c r="M103" i="7"/>
  <c r="N103" i="7"/>
  <c r="O103" i="7"/>
  <c r="J103" i="7"/>
  <c r="D105" i="7"/>
  <c r="K105" i="7" s="1"/>
  <c r="E105" i="7"/>
  <c r="L105" i="7" s="1"/>
  <c r="F105" i="7"/>
  <c r="M105" i="7" s="1"/>
  <c r="G105" i="7"/>
  <c r="N105" i="7" s="1"/>
  <c r="H105" i="7"/>
  <c r="O105" i="7" s="1"/>
  <c r="D106" i="7"/>
  <c r="K106" i="7" s="1"/>
  <c r="E106" i="7"/>
  <c r="L106" i="7" s="1"/>
  <c r="F106" i="7"/>
  <c r="M106" i="7" s="1"/>
  <c r="G106" i="7"/>
  <c r="N106" i="7" s="1"/>
  <c r="H106" i="7"/>
  <c r="O106" i="7" s="1"/>
  <c r="D107" i="7"/>
  <c r="K107" i="7" s="1"/>
  <c r="E107" i="7"/>
  <c r="L107" i="7" s="1"/>
  <c r="F107" i="7"/>
  <c r="M107" i="7" s="1"/>
  <c r="G107" i="7"/>
  <c r="N107" i="7" s="1"/>
  <c r="H107" i="7"/>
  <c r="O107" i="7" s="1"/>
  <c r="D108" i="7"/>
  <c r="K108" i="7" s="1"/>
  <c r="E108" i="7"/>
  <c r="L108" i="7" s="1"/>
  <c r="F108" i="7"/>
  <c r="M108" i="7" s="1"/>
  <c r="G108" i="7"/>
  <c r="N108" i="7" s="1"/>
  <c r="H108" i="7"/>
  <c r="O108" i="7" s="1"/>
  <c r="D109" i="7"/>
  <c r="K109" i="7" s="1"/>
  <c r="E109" i="7"/>
  <c r="L109" i="7" s="1"/>
  <c r="F109" i="7"/>
  <c r="M109" i="7" s="1"/>
  <c r="G109" i="7"/>
  <c r="N109" i="7" s="1"/>
  <c r="H109" i="7"/>
  <c r="O109" i="7" s="1"/>
  <c r="D110" i="7"/>
  <c r="K110" i="7" s="1"/>
  <c r="E110" i="7"/>
  <c r="L110" i="7" s="1"/>
  <c r="F110" i="7"/>
  <c r="M110" i="7" s="1"/>
  <c r="G110" i="7"/>
  <c r="N110" i="7" s="1"/>
  <c r="H110" i="7"/>
  <c r="O110" i="7" s="1"/>
  <c r="D111" i="7"/>
  <c r="K111" i="7" s="1"/>
  <c r="E111" i="7"/>
  <c r="L111" i="7" s="1"/>
  <c r="F111" i="7"/>
  <c r="M111" i="7" s="1"/>
  <c r="G111" i="7"/>
  <c r="N111" i="7" s="1"/>
  <c r="H111" i="7"/>
  <c r="O111" i="7" s="1"/>
  <c r="C106" i="7"/>
  <c r="J106" i="7" s="1"/>
  <c r="C107" i="7"/>
  <c r="J107" i="7" s="1"/>
  <c r="C108" i="7"/>
  <c r="J108" i="7" s="1"/>
  <c r="C109" i="7"/>
  <c r="J109" i="7" s="1"/>
  <c r="C110" i="7"/>
  <c r="J110" i="7" s="1"/>
  <c r="C111" i="7"/>
  <c r="J111" i="7" s="1"/>
  <c r="B106" i="7"/>
  <c r="B107" i="7"/>
  <c r="B108" i="7"/>
  <c r="B109" i="7"/>
  <c r="B110" i="7"/>
  <c r="B111" i="7"/>
  <c r="B105" i="7"/>
  <c r="C105" i="7"/>
  <c r="J105" i="7" s="1"/>
  <c r="D74" i="7"/>
  <c r="F74" i="7" s="1"/>
  <c r="D75" i="7"/>
  <c r="F75" i="7" s="1"/>
  <c r="D76" i="7"/>
  <c r="F76" i="7" s="1"/>
  <c r="D77" i="7"/>
  <c r="F77" i="7" s="1"/>
  <c r="D78" i="7"/>
  <c r="F78" i="7" s="1"/>
  <c r="D79" i="7"/>
  <c r="D73" i="7"/>
  <c r="F73" i="7" s="1"/>
  <c r="F79" i="7"/>
  <c r="D50" i="7"/>
  <c r="F50" i="7" s="1"/>
  <c r="D51" i="7"/>
  <c r="F51" i="7" s="1"/>
  <c r="D52" i="7"/>
  <c r="F52" i="7" s="1"/>
  <c r="D53" i="7"/>
  <c r="F53" i="7" s="1"/>
  <c r="D54" i="7"/>
  <c r="F54" i="7" s="1"/>
  <c r="D55" i="7"/>
  <c r="F55" i="7" s="1"/>
  <c r="D49" i="7"/>
  <c r="D14" i="7"/>
  <c r="F14" i="7" s="1"/>
  <c r="D15" i="7"/>
  <c r="F15" i="7" s="1"/>
  <c r="D16" i="7"/>
  <c r="F16" i="7" s="1"/>
  <c r="D17" i="7"/>
  <c r="F17" i="7" s="1"/>
  <c r="D18" i="7"/>
  <c r="F18" i="7" s="1"/>
  <c r="D19" i="7"/>
  <c r="F19" i="7" s="1"/>
  <c r="F13" i="7"/>
  <c r="L68" i="6"/>
  <c r="L67" i="6"/>
  <c r="Y95" i="6"/>
  <c r="AB94" i="6" s="1"/>
  <c r="AC94" i="6" s="1"/>
  <c r="X95" i="6"/>
  <c r="W95" i="6"/>
  <c r="F95" i="6"/>
  <c r="U94" i="6"/>
  <c r="T94" i="6"/>
  <c r="S94" i="6"/>
  <c r="C94" i="6"/>
  <c r="S92" i="6"/>
  <c r="C92" i="6"/>
  <c r="T91" i="6"/>
  <c r="S91" i="6"/>
  <c r="D91" i="6"/>
  <c r="C91" i="6"/>
  <c r="AA88" i="6"/>
  <c r="K88" i="6"/>
  <c r="Y83" i="6"/>
  <c r="X83" i="6"/>
  <c r="W83" i="6"/>
  <c r="V83" i="6"/>
  <c r="V95" i="6" s="1"/>
  <c r="U83" i="6"/>
  <c r="U95" i="6" s="1"/>
  <c r="T83" i="6"/>
  <c r="T95" i="6" s="1"/>
  <c r="S83" i="6"/>
  <c r="S95" i="6" s="1"/>
  <c r="I83" i="6"/>
  <c r="L82" i="6" s="1"/>
  <c r="M82" i="6" s="1"/>
  <c r="H83" i="6"/>
  <c r="H95" i="6" s="1"/>
  <c r="G83" i="6"/>
  <c r="G95" i="6" s="1"/>
  <c r="F83" i="6"/>
  <c r="E83" i="6"/>
  <c r="E95" i="6" s="1"/>
  <c r="D83" i="6"/>
  <c r="D95" i="6" s="1"/>
  <c r="C83" i="6"/>
  <c r="C95" i="6" s="1"/>
  <c r="AB82" i="6"/>
  <c r="AC82" i="6" s="1"/>
  <c r="Y82" i="6"/>
  <c r="Y94" i="6" s="1"/>
  <c r="AB93" i="6" s="1"/>
  <c r="X82" i="6"/>
  <c r="X94" i="6" s="1"/>
  <c r="W82" i="6"/>
  <c r="W94" i="6" s="1"/>
  <c r="V82" i="6"/>
  <c r="V94" i="6" s="1"/>
  <c r="U82" i="6"/>
  <c r="T82" i="6"/>
  <c r="S82" i="6"/>
  <c r="I82" i="6"/>
  <c r="I94" i="6" s="1"/>
  <c r="L93" i="6" s="1"/>
  <c r="H82" i="6"/>
  <c r="H94" i="6" s="1"/>
  <c r="G82" i="6"/>
  <c r="G94" i="6" s="1"/>
  <c r="F82" i="6"/>
  <c r="F94" i="6" s="1"/>
  <c r="E82" i="6"/>
  <c r="E94" i="6" s="1"/>
  <c r="D82" i="6"/>
  <c r="D94" i="6" s="1"/>
  <c r="C82" i="6"/>
  <c r="Y81" i="6"/>
  <c r="Y93" i="6" s="1"/>
  <c r="AB92" i="6" s="1"/>
  <c r="X81" i="6"/>
  <c r="X93" i="6" s="1"/>
  <c r="W81" i="6"/>
  <c r="W93" i="6" s="1"/>
  <c r="V81" i="6"/>
  <c r="V93" i="6" s="1"/>
  <c r="U81" i="6"/>
  <c r="U93" i="6" s="1"/>
  <c r="T81" i="6"/>
  <c r="T93" i="6" s="1"/>
  <c r="S81" i="6"/>
  <c r="S93" i="6" s="1"/>
  <c r="I81" i="6"/>
  <c r="I93" i="6" s="1"/>
  <c r="L92" i="6" s="1"/>
  <c r="H81" i="6"/>
  <c r="H93" i="6" s="1"/>
  <c r="G81" i="6"/>
  <c r="G93" i="6" s="1"/>
  <c r="F81" i="6"/>
  <c r="F93" i="6" s="1"/>
  <c r="E81" i="6"/>
  <c r="E93" i="6" s="1"/>
  <c r="D81" i="6"/>
  <c r="D93" i="6" s="1"/>
  <c r="C81" i="6"/>
  <c r="C93" i="6" s="1"/>
  <c r="Y80" i="6"/>
  <c r="Y92" i="6" s="1"/>
  <c r="AB91" i="6" s="1"/>
  <c r="X80" i="6"/>
  <c r="X92" i="6" s="1"/>
  <c r="W80" i="6"/>
  <c r="W92" i="6" s="1"/>
  <c r="V80" i="6"/>
  <c r="V92" i="6" s="1"/>
  <c r="U80" i="6"/>
  <c r="U92" i="6" s="1"/>
  <c r="T80" i="6"/>
  <c r="T92" i="6" s="1"/>
  <c r="S80" i="6"/>
  <c r="I80" i="6"/>
  <c r="I92" i="6" s="1"/>
  <c r="L91" i="6" s="1"/>
  <c r="H80" i="6"/>
  <c r="H92" i="6" s="1"/>
  <c r="G80" i="6"/>
  <c r="G92" i="6" s="1"/>
  <c r="F80" i="6"/>
  <c r="F92" i="6" s="1"/>
  <c r="E80" i="6"/>
  <c r="E92" i="6" s="1"/>
  <c r="D80" i="6"/>
  <c r="D92" i="6" s="1"/>
  <c r="C80" i="6"/>
  <c r="Y79" i="6"/>
  <c r="Y91" i="6" s="1"/>
  <c r="AB90" i="6" s="1"/>
  <c r="X79" i="6"/>
  <c r="X91" i="6" s="1"/>
  <c r="W79" i="6"/>
  <c r="W91" i="6" s="1"/>
  <c r="V79" i="6"/>
  <c r="V91" i="6" s="1"/>
  <c r="U79" i="6"/>
  <c r="U91" i="6" s="1"/>
  <c r="T79" i="6"/>
  <c r="S79" i="6"/>
  <c r="I79" i="6"/>
  <c r="I91" i="6" s="1"/>
  <c r="L90" i="6" s="1"/>
  <c r="H79" i="6"/>
  <c r="H91" i="6" s="1"/>
  <c r="G79" i="6"/>
  <c r="G91" i="6" s="1"/>
  <c r="F79" i="6"/>
  <c r="F91" i="6" s="1"/>
  <c r="E79" i="6"/>
  <c r="E91" i="6" s="1"/>
  <c r="D79" i="6"/>
  <c r="C79" i="6"/>
  <c r="AA76" i="6"/>
  <c r="K76" i="6"/>
  <c r="AB71" i="6"/>
  <c r="AC71" i="6" s="1"/>
  <c r="L71" i="6"/>
  <c r="M71" i="6" s="1"/>
  <c r="AB70" i="6"/>
  <c r="AC69" i="6" s="1"/>
  <c r="L70" i="6"/>
  <c r="AB69" i="6"/>
  <c r="L69" i="6"/>
  <c r="AB68" i="6"/>
  <c r="AC68" i="6" s="1"/>
  <c r="AB67" i="6"/>
  <c r="M67" i="6"/>
  <c r="AA65" i="6"/>
  <c r="K65" i="6"/>
  <c r="AB59" i="6"/>
  <c r="AC59" i="6" s="1"/>
  <c r="L59" i="6"/>
  <c r="M59" i="6" s="1"/>
  <c r="AB58" i="6"/>
  <c r="L58" i="6"/>
  <c r="M58" i="6" s="1"/>
  <c r="AB57" i="6"/>
  <c r="L57" i="6"/>
  <c r="M57" i="6" s="1"/>
  <c r="AB56" i="6"/>
  <c r="L56" i="6"/>
  <c r="AC55" i="6"/>
  <c r="AB55" i="6"/>
  <c r="L55" i="6"/>
  <c r="AA53" i="6"/>
  <c r="K53" i="6"/>
  <c r="AB49" i="6"/>
  <c r="AC49" i="6" s="1"/>
  <c r="L49" i="6"/>
  <c r="M49" i="6" s="1"/>
  <c r="AB48" i="6"/>
  <c r="L48" i="6"/>
  <c r="AB47" i="6"/>
  <c r="AC46" i="6" s="1"/>
  <c r="L47" i="6"/>
  <c r="AB46" i="6"/>
  <c r="L46" i="6"/>
  <c r="AB45" i="6"/>
  <c r="L45" i="6"/>
  <c r="AA43" i="6"/>
  <c r="K43" i="6"/>
  <c r="AC39" i="6"/>
  <c r="AB39" i="6"/>
  <c r="AC38" i="6" s="1"/>
  <c r="L39" i="6"/>
  <c r="M39" i="6" s="1"/>
  <c r="AB38" i="6"/>
  <c r="L38" i="6"/>
  <c r="AB37" i="6"/>
  <c r="AC37" i="6" s="1"/>
  <c r="AD36" i="6" s="1"/>
  <c r="L37" i="6"/>
  <c r="AB36" i="6"/>
  <c r="AC36" i="6" s="1"/>
  <c r="L36" i="6"/>
  <c r="M36" i="6" s="1"/>
  <c r="AB35" i="6"/>
  <c r="L35" i="6"/>
  <c r="M35" i="6" s="1"/>
  <c r="AA33" i="6"/>
  <c r="K33" i="6"/>
  <c r="AB29" i="6"/>
  <c r="AC29" i="6" s="1"/>
  <c r="L29" i="6"/>
  <c r="M29" i="6" s="1"/>
  <c r="AB28" i="6"/>
  <c r="AC28" i="6" s="1"/>
  <c r="L28" i="6"/>
  <c r="M28" i="6" s="1"/>
  <c r="AC27" i="6"/>
  <c r="AB27" i="6"/>
  <c r="L27" i="6"/>
  <c r="M27" i="6" s="1"/>
  <c r="AB26" i="6"/>
  <c r="L26" i="6"/>
  <c r="AB25" i="6"/>
  <c r="L25" i="6"/>
  <c r="M25" i="6" s="1"/>
  <c r="AA23" i="6"/>
  <c r="K23" i="6"/>
  <c r="AC19" i="6"/>
  <c r="AB19" i="6"/>
  <c r="L19" i="6"/>
  <c r="M19" i="6" s="1"/>
  <c r="AB18" i="6"/>
  <c r="L18" i="6"/>
  <c r="AB17" i="6"/>
  <c r="L17" i="6"/>
  <c r="AB16" i="6"/>
  <c r="L16" i="6"/>
  <c r="AB15" i="6"/>
  <c r="AC15" i="6" s="1"/>
  <c r="L15" i="6"/>
  <c r="AA13" i="6"/>
  <c r="K13" i="6"/>
  <c r="AB9" i="6"/>
  <c r="AC9" i="6" s="1"/>
  <c r="L9" i="6"/>
  <c r="M9" i="6" s="1"/>
  <c r="AB8" i="6"/>
  <c r="AC8" i="6" s="1"/>
  <c r="AD7" i="6" s="1"/>
  <c r="L8" i="6"/>
  <c r="M8" i="6" s="1"/>
  <c r="AB7" i="6"/>
  <c r="AC7" i="6" s="1"/>
  <c r="L7" i="6"/>
  <c r="M7" i="6" s="1"/>
  <c r="AB6" i="6"/>
  <c r="AC5" i="6" s="1"/>
  <c r="L6" i="6"/>
  <c r="AB5" i="6"/>
  <c r="L5" i="6"/>
  <c r="AA3" i="6"/>
  <c r="K3" i="6"/>
  <c r="O41" i="4"/>
  <c r="N41" i="4"/>
  <c r="E41" i="4"/>
  <c r="D41" i="4"/>
  <c r="G41" i="4" s="1"/>
  <c r="C41" i="4"/>
  <c r="O40" i="4"/>
  <c r="N40" i="4"/>
  <c r="P40" i="4" s="1"/>
  <c r="E40" i="4"/>
  <c r="D40" i="4"/>
  <c r="C40" i="4"/>
  <c r="O39" i="4"/>
  <c r="N39" i="4"/>
  <c r="P39" i="4" s="1"/>
  <c r="E39" i="4"/>
  <c r="D39" i="4"/>
  <c r="G39" i="4" s="1"/>
  <c r="C39" i="4"/>
  <c r="O38" i="4"/>
  <c r="N38" i="4"/>
  <c r="P38" i="4" s="1"/>
  <c r="E38" i="4"/>
  <c r="F38" i="4" s="1"/>
  <c r="I38" i="4" s="1"/>
  <c r="D38" i="4"/>
  <c r="C38" i="4"/>
  <c r="O37" i="4"/>
  <c r="N37" i="4"/>
  <c r="E37" i="4"/>
  <c r="D37" i="4"/>
  <c r="G37" i="4" s="1"/>
  <c r="C37" i="4"/>
  <c r="O36" i="4"/>
  <c r="N36" i="4"/>
  <c r="E36" i="4"/>
  <c r="D36" i="4"/>
  <c r="C36" i="4"/>
  <c r="O35" i="4"/>
  <c r="N35" i="4"/>
  <c r="E35" i="4"/>
  <c r="D35" i="4"/>
  <c r="C35" i="4"/>
  <c r="E27" i="4"/>
  <c r="P26" i="4"/>
  <c r="Q26" i="4" s="1"/>
  <c r="T26" i="4" s="1"/>
  <c r="G26" i="4"/>
  <c r="F26" i="4"/>
  <c r="I26" i="4" s="1"/>
  <c r="P25" i="4"/>
  <c r="Q25" i="4" s="1"/>
  <c r="T25" i="4" s="1"/>
  <c r="G25" i="4"/>
  <c r="F25" i="4"/>
  <c r="I25" i="4" s="1"/>
  <c r="P24" i="4"/>
  <c r="R24" i="4" s="1"/>
  <c r="G24" i="4"/>
  <c r="F24" i="4"/>
  <c r="I24" i="4" s="1"/>
  <c r="P23" i="4"/>
  <c r="R23" i="4" s="1"/>
  <c r="G23" i="4"/>
  <c r="F23" i="4"/>
  <c r="I23" i="4" s="1"/>
  <c r="P22" i="4"/>
  <c r="Q22" i="4" s="1"/>
  <c r="T22" i="4" s="1"/>
  <c r="G22" i="4"/>
  <c r="F22" i="4"/>
  <c r="I22" i="4" s="1"/>
  <c r="P21" i="4"/>
  <c r="R21" i="4" s="1"/>
  <c r="G21" i="4"/>
  <c r="F21" i="4"/>
  <c r="I21" i="4" s="1"/>
  <c r="P20" i="4"/>
  <c r="R20" i="4" s="1"/>
  <c r="G20" i="4"/>
  <c r="F20" i="4"/>
  <c r="O13" i="4"/>
  <c r="N13" i="4"/>
  <c r="E13" i="4"/>
  <c r="Q12" i="4"/>
  <c r="T12" i="4" s="1"/>
  <c r="P12" i="4"/>
  <c r="G12" i="4"/>
  <c r="F12" i="4"/>
  <c r="I12" i="4" s="1"/>
  <c r="Q11" i="4"/>
  <c r="T11" i="4" s="1"/>
  <c r="P11" i="4"/>
  <c r="G11" i="4"/>
  <c r="F11" i="4"/>
  <c r="I11" i="4" s="1"/>
  <c r="Q10" i="4"/>
  <c r="R10" i="4" s="1"/>
  <c r="P10" i="4"/>
  <c r="I10" i="4"/>
  <c r="G10" i="4"/>
  <c r="F10" i="4"/>
  <c r="Q9" i="4"/>
  <c r="R9" i="4" s="1"/>
  <c r="P9" i="4"/>
  <c r="G9" i="4"/>
  <c r="F9" i="4"/>
  <c r="I9" i="4" s="1"/>
  <c r="Q8" i="4"/>
  <c r="R8" i="4" s="1"/>
  <c r="P8" i="4"/>
  <c r="G8" i="4"/>
  <c r="F8" i="4"/>
  <c r="I8" i="4" s="1"/>
  <c r="Q7" i="4"/>
  <c r="T7" i="4" s="1"/>
  <c r="P7" i="4"/>
  <c r="G7" i="4"/>
  <c r="F7" i="4"/>
  <c r="I7" i="4" s="1"/>
  <c r="Q6" i="4"/>
  <c r="P6" i="4"/>
  <c r="G6" i="4"/>
  <c r="F6" i="4"/>
  <c r="I6" i="4" s="1"/>
  <c r="AB29" i="3"/>
  <c r="AC29" i="3" s="1"/>
  <c r="K29" i="3"/>
  <c r="L29" i="3" s="1"/>
  <c r="AB28" i="3"/>
  <c r="K28" i="3"/>
  <c r="AB27" i="3"/>
  <c r="K27" i="3"/>
  <c r="L27" i="3" s="1"/>
  <c r="AB26" i="3"/>
  <c r="K26" i="3"/>
  <c r="AB25" i="3"/>
  <c r="K25" i="3"/>
  <c r="AA23" i="3"/>
  <c r="J23" i="3"/>
  <c r="AB19" i="3"/>
  <c r="K19" i="3"/>
  <c r="L19" i="3" s="1"/>
  <c r="AB18" i="3"/>
  <c r="K18" i="3"/>
  <c r="AB17" i="3"/>
  <c r="K17" i="3"/>
  <c r="AB16" i="3"/>
  <c r="K16" i="3"/>
  <c r="AB15" i="3"/>
  <c r="K15" i="3"/>
  <c r="AA13" i="3"/>
  <c r="J13" i="3"/>
  <c r="AC9" i="3"/>
  <c r="L9" i="3"/>
  <c r="L8" i="3"/>
  <c r="L7" i="3"/>
  <c r="L6" i="3"/>
  <c r="AA3" i="3"/>
  <c r="J3" i="3"/>
  <c r="D36" i="2"/>
  <c r="L35" i="2" s="1"/>
  <c r="K35" i="2"/>
  <c r="D35" i="2"/>
  <c r="L34" i="2"/>
  <c r="K34" i="2"/>
  <c r="D34" i="2"/>
  <c r="L33" i="2" s="1"/>
  <c r="K33" i="2"/>
  <c r="K30" i="2"/>
  <c r="K29" i="2"/>
  <c r="I29" i="2"/>
  <c r="M30" i="2" s="1"/>
  <c r="D29" i="2"/>
  <c r="L30" i="2" s="1"/>
  <c r="K28" i="2"/>
  <c r="I28" i="2"/>
  <c r="M29" i="2" s="1"/>
  <c r="D28" i="2"/>
  <c r="L29" i="2" s="1"/>
  <c r="K27" i="2"/>
  <c r="I27" i="2"/>
  <c r="M28" i="2" s="1"/>
  <c r="D27" i="2"/>
  <c r="L28" i="2" s="1"/>
  <c r="K26" i="2"/>
  <c r="I26" i="2"/>
  <c r="M27" i="2" s="1"/>
  <c r="D26" i="2"/>
  <c r="L27" i="2" s="1"/>
  <c r="I25" i="2"/>
  <c r="M26" i="2" s="1"/>
  <c r="D25" i="2"/>
  <c r="L26" i="2" s="1"/>
  <c r="K17" i="2"/>
  <c r="K16" i="2"/>
  <c r="I19" i="2"/>
  <c r="M17" i="2" s="1"/>
  <c r="D19" i="2"/>
  <c r="L17" i="2" s="1"/>
  <c r="K15" i="2"/>
  <c r="I18" i="2"/>
  <c r="M16" i="2" s="1"/>
  <c r="D18" i="2"/>
  <c r="L16" i="2" s="1"/>
  <c r="L14" i="2"/>
  <c r="K14" i="2"/>
  <c r="I17" i="2"/>
  <c r="M15" i="2" s="1"/>
  <c r="D17" i="2"/>
  <c r="L15" i="2" s="1"/>
  <c r="K13" i="2"/>
  <c r="I16" i="2"/>
  <c r="M14" i="2" s="1"/>
  <c r="D16" i="2"/>
  <c r="I15" i="2"/>
  <c r="M13" i="2" s="1"/>
  <c r="D15" i="2"/>
  <c r="L13" i="2" s="1"/>
  <c r="I12" i="2"/>
  <c r="I11" i="2"/>
  <c r="I10" i="2"/>
  <c r="I9" i="2"/>
  <c r="M8" i="2"/>
  <c r="L8" i="2"/>
  <c r="K8" i="2"/>
  <c r="I8" i="2"/>
  <c r="I7" i="2"/>
  <c r="L5" i="2"/>
  <c r="K5" i="2"/>
  <c r="M4" i="2"/>
  <c r="L4" i="2"/>
  <c r="K4" i="2"/>
  <c r="I4" i="2"/>
  <c r="M5" i="2" s="1"/>
  <c r="D4" i="2"/>
  <c r="I3" i="2"/>
  <c r="D3" i="2"/>
  <c r="AC27" i="3" l="1"/>
  <c r="AC25" i="3"/>
  <c r="AC5" i="3"/>
  <c r="AC6" i="3"/>
  <c r="L15" i="3"/>
  <c r="L16" i="3"/>
  <c r="G38" i="4"/>
  <c r="R22" i="4"/>
  <c r="R25" i="4"/>
  <c r="G40" i="4"/>
  <c r="K112" i="7"/>
  <c r="L112" i="7"/>
  <c r="M112" i="7"/>
  <c r="O112" i="7"/>
  <c r="J112" i="7"/>
  <c r="N112" i="7"/>
  <c r="N133" i="7"/>
  <c r="O133" i="7"/>
  <c r="L133" i="7"/>
  <c r="M133" i="7"/>
  <c r="J133" i="7"/>
  <c r="K133" i="7"/>
  <c r="F80" i="7"/>
  <c r="F56" i="7"/>
  <c r="F20" i="7"/>
  <c r="R40" i="4"/>
  <c r="AC26" i="3"/>
  <c r="AD25" i="3" s="1"/>
  <c r="O36" i="3" s="1"/>
  <c r="P13" i="4"/>
  <c r="AD45" i="6"/>
  <c r="AD58" i="6"/>
  <c r="AD68" i="6"/>
  <c r="Q13" i="4"/>
  <c r="R13" i="4" s="1"/>
  <c r="T8" i="4"/>
  <c r="P36" i="4"/>
  <c r="Q36" i="4" s="1"/>
  <c r="T36" i="4" s="1"/>
  <c r="AC6" i="6"/>
  <c r="AD5" i="6" s="1"/>
  <c r="AF5" i="6" s="1"/>
  <c r="L101" i="6" s="1"/>
  <c r="AC35" i="6"/>
  <c r="AD37" i="6"/>
  <c r="M48" i="6"/>
  <c r="M55" i="6"/>
  <c r="M15" i="6"/>
  <c r="AC93" i="6"/>
  <c r="AD93" i="6" s="1"/>
  <c r="P35" i="4"/>
  <c r="R35" i="4" s="1"/>
  <c r="AD27" i="6"/>
  <c r="AC57" i="6"/>
  <c r="AC16" i="3"/>
  <c r="AC45" i="6"/>
  <c r="T9" i="4"/>
  <c r="M17" i="6"/>
  <c r="N16" i="6" s="1"/>
  <c r="N28" i="6"/>
  <c r="N57" i="6"/>
  <c r="AB78" i="6"/>
  <c r="AC8" i="3"/>
  <c r="AD8" i="3" s="1"/>
  <c r="M39" i="3" s="1"/>
  <c r="L17" i="3"/>
  <c r="M16" i="3" s="1"/>
  <c r="K37" i="3" s="1"/>
  <c r="R11" i="4"/>
  <c r="AC25" i="6"/>
  <c r="AD28" i="6"/>
  <c r="M46" i="6"/>
  <c r="M68" i="6"/>
  <c r="N67" i="6" s="1"/>
  <c r="AC18" i="3"/>
  <c r="AD17" i="3" s="1"/>
  <c r="N38" i="3" s="1"/>
  <c r="R12" i="4"/>
  <c r="M6" i="3"/>
  <c r="J37" i="3" s="1"/>
  <c r="AC15" i="3"/>
  <c r="L28" i="3"/>
  <c r="M27" i="3" s="1"/>
  <c r="L38" i="3" s="1"/>
  <c r="Q35" i="4"/>
  <c r="T35" i="4" s="1"/>
  <c r="AD6" i="6"/>
  <c r="M16" i="6"/>
  <c r="N15" i="6" s="1"/>
  <c r="AC67" i="6"/>
  <c r="AD67" i="6" s="1"/>
  <c r="N7" i="6"/>
  <c r="M37" i="6"/>
  <c r="N36" i="6" s="1"/>
  <c r="L25" i="3"/>
  <c r="R26" i="4"/>
  <c r="M8" i="3"/>
  <c r="J39" i="3" s="1"/>
  <c r="AC17" i="3"/>
  <c r="F27" i="4"/>
  <c r="G28" i="4" s="1"/>
  <c r="G36" i="4"/>
  <c r="F39" i="4"/>
  <c r="I39" i="4" s="1"/>
  <c r="Q40" i="4"/>
  <c r="T40" i="4" s="1"/>
  <c r="N8" i="6"/>
  <c r="M18" i="6"/>
  <c r="N17" i="6" s="1"/>
  <c r="M26" i="6"/>
  <c r="N25" i="6" s="1"/>
  <c r="M38" i="6"/>
  <c r="AC58" i="6"/>
  <c r="AC92" i="6"/>
  <c r="L78" i="6"/>
  <c r="P41" i="4"/>
  <c r="Q41" i="4" s="1"/>
  <c r="T41" i="4" s="1"/>
  <c r="M45" i="6"/>
  <c r="L5" i="3"/>
  <c r="M5" i="3" s="1"/>
  <c r="L18" i="3"/>
  <c r="L26" i="3"/>
  <c r="G13" i="4"/>
  <c r="G27" i="4"/>
  <c r="G35" i="4"/>
  <c r="G42" i="4" s="1"/>
  <c r="M5" i="6"/>
  <c r="AD8" i="6"/>
  <c r="AC17" i="6"/>
  <c r="AD16" i="6" s="1"/>
  <c r="AC26" i="6"/>
  <c r="AD25" i="6" s="1"/>
  <c r="M47" i="6"/>
  <c r="N46" i="6" s="1"/>
  <c r="N58" i="6"/>
  <c r="M70" i="6"/>
  <c r="N70" i="6" s="1"/>
  <c r="L79" i="6"/>
  <c r="N26" i="6"/>
  <c r="N38" i="6"/>
  <c r="AD26" i="6"/>
  <c r="AD38" i="6"/>
  <c r="AC90" i="6"/>
  <c r="N35" i="6"/>
  <c r="N27" i="6"/>
  <c r="AD35" i="6"/>
  <c r="N48" i="6"/>
  <c r="N56" i="6"/>
  <c r="AD92" i="6"/>
  <c r="AC91" i="6"/>
  <c r="AC48" i="6"/>
  <c r="AD47" i="6" s="1"/>
  <c r="AC56" i="6"/>
  <c r="AD55" i="6" s="1"/>
  <c r="AC16" i="6"/>
  <c r="AD15" i="6" s="1"/>
  <c r="AC18" i="6"/>
  <c r="AC70" i="6"/>
  <c r="M69" i="6"/>
  <c r="N68" i="6" s="1"/>
  <c r="I95" i="6"/>
  <c r="L94" i="6" s="1"/>
  <c r="M94" i="6" s="1"/>
  <c r="AC47" i="6"/>
  <c r="AD46" i="6" s="1"/>
  <c r="M6" i="6"/>
  <c r="M56" i="6"/>
  <c r="AB79" i="6"/>
  <c r="L80" i="6"/>
  <c r="AB80" i="6"/>
  <c r="L81" i="6"/>
  <c r="M81" i="6" s="1"/>
  <c r="AB81" i="6"/>
  <c r="AC81" i="6" s="1"/>
  <c r="I13" i="4"/>
  <c r="R27" i="4"/>
  <c r="R38" i="4"/>
  <c r="R36" i="4"/>
  <c r="R39" i="4"/>
  <c r="F13" i="4"/>
  <c r="G14" i="4" s="1"/>
  <c r="F35" i="4"/>
  <c r="Q38" i="4"/>
  <c r="T38" i="4" s="1"/>
  <c r="Q21" i="4"/>
  <c r="T21" i="4" s="1"/>
  <c r="R7" i="4"/>
  <c r="I20" i="4"/>
  <c r="I27" i="4" s="1"/>
  <c r="Q24" i="4"/>
  <c r="T24" i="4" s="1"/>
  <c r="P27" i="4"/>
  <c r="T10" i="4"/>
  <c r="Q20" i="4"/>
  <c r="F36" i="4"/>
  <c r="I36" i="4" s="1"/>
  <c r="F41" i="4"/>
  <c r="I41" i="4" s="1"/>
  <c r="R6" i="4"/>
  <c r="Q23" i="4"/>
  <c r="T23" i="4" s="1"/>
  <c r="P37" i="4"/>
  <c r="F40" i="4"/>
  <c r="I40" i="4" s="1"/>
  <c r="T6" i="4"/>
  <c r="F37" i="4"/>
  <c r="I37" i="4" s="1"/>
  <c r="Q39" i="4"/>
  <c r="T39" i="4" s="1"/>
  <c r="M15" i="3"/>
  <c r="AD15" i="3"/>
  <c r="M7" i="3"/>
  <c r="J38" i="3" s="1"/>
  <c r="AC7" i="3"/>
  <c r="AC28" i="3"/>
  <c r="AD27" i="3" s="1"/>
  <c r="O38" i="3" s="1"/>
  <c r="AC19" i="3"/>
  <c r="AD5" i="3" l="1"/>
  <c r="AD6" i="3"/>
  <c r="M37" i="3" s="1"/>
  <c r="AD18" i="3"/>
  <c r="N39" i="3" s="1"/>
  <c r="AD26" i="3"/>
  <c r="O37" i="3" s="1"/>
  <c r="M28" i="3"/>
  <c r="L39" i="3" s="1"/>
  <c r="M25" i="3"/>
  <c r="L36" i="3" s="1"/>
  <c r="M17" i="3"/>
  <c r="K38" i="3" s="1"/>
  <c r="P42" i="4"/>
  <c r="R41" i="4"/>
  <c r="N47" i="6"/>
  <c r="N69" i="6"/>
  <c r="P67" i="6" s="1"/>
  <c r="N45" i="6"/>
  <c r="P45" i="6" s="1"/>
  <c r="N18" i="6"/>
  <c r="M18" i="3"/>
  <c r="K39" i="3" s="1"/>
  <c r="P25" i="6"/>
  <c r="AC79" i="6"/>
  <c r="M91" i="6"/>
  <c r="N55" i="6"/>
  <c r="AD16" i="3"/>
  <c r="N37" i="3" s="1"/>
  <c r="N5" i="6"/>
  <c r="AD90" i="6"/>
  <c r="AD57" i="6"/>
  <c r="M26" i="3"/>
  <c r="L37" i="3" s="1"/>
  <c r="N37" i="6"/>
  <c r="P35" i="6" s="1"/>
  <c r="N90" i="6"/>
  <c r="M79" i="6"/>
  <c r="M78" i="6"/>
  <c r="P55" i="6"/>
  <c r="AF25" i="6"/>
  <c r="AF35" i="6"/>
  <c r="AD91" i="6"/>
  <c r="AF90" i="6" s="1"/>
  <c r="L100" i="6" s="1"/>
  <c r="AC78" i="6"/>
  <c r="AD78" i="6" s="1"/>
  <c r="N6" i="6"/>
  <c r="P5" i="6" s="1"/>
  <c r="K101" i="6" s="1"/>
  <c r="P15" i="6"/>
  <c r="AD81" i="6"/>
  <c r="AD69" i="6"/>
  <c r="AD70" i="6"/>
  <c r="M90" i="6"/>
  <c r="M92" i="6"/>
  <c r="M93" i="6"/>
  <c r="N92" i="6" s="1"/>
  <c r="AC80" i="6"/>
  <c r="AD79" i="6" s="1"/>
  <c r="AD17" i="6"/>
  <c r="AF15" i="6" s="1"/>
  <c r="AD18" i="6"/>
  <c r="AD56" i="6"/>
  <c r="N81" i="6"/>
  <c r="M80" i="6"/>
  <c r="N80" i="6" s="1"/>
  <c r="AD48" i="6"/>
  <c r="AF45" i="6" s="1"/>
  <c r="Q37" i="4"/>
  <c r="I35" i="4"/>
  <c r="I42" i="4" s="1"/>
  <c r="F42" i="4"/>
  <c r="G43" i="4" s="1"/>
  <c r="R37" i="4"/>
  <c r="T20" i="4"/>
  <c r="T27" i="4" s="1"/>
  <c r="Q27" i="4"/>
  <c r="R28" i="4" s="1"/>
  <c r="T13" i="4"/>
  <c r="R42" i="4"/>
  <c r="N36" i="3"/>
  <c r="M36" i="3"/>
  <c r="J36" i="3"/>
  <c r="O5" i="3"/>
  <c r="K36" i="3"/>
  <c r="AD28" i="3"/>
  <c r="O39" i="3" s="1"/>
  <c r="AD7" i="3"/>
  <c r="M38" i="3" s="1"/>
  <c r="AF5" i="3" l="1"/>
  <c r="AF15" i="3"/>
  <c r="AD80" i="6"/>
  <c r="N91" i="6"/>
  <c r="O25" i="3"/>
  <c r="AF67" i="6"/>
  <c r="O15" i="3"/>
  <c r="AF55" i="6"/>
  <c r="AF78" i="6"/>
  <c r="L99" i="6" s="1"/>
  <c r="N78" i="6"/>
  <c r="N93" i="6"/>
  <c r="P90" i="6" s="1"/>
  <c r="K100" i="6" s="1"/>
  <c r="N79" i="6"/>
  <c r="T37" i="4"/>
  <c r="T42" i="4" s="1"/>
  <c r="Q42" i="4"/>
  <c r="R43" i="4" s="1"/>
  <c r="AF25" i="3"/>
  <c r="P78" i="6" l="1"/>
  <c r="K99" i="6" s="1"/>
</calcChain>
</file>

<file path=xl/sharedStrings.xml><?xml version="1.0" encoding="utf-8"?>
<sst xmlns="http://schemas.openxmlformats.org/spreadsheetml/2006/main" count="2567" uniqueCount="412">
  <si>
    <t>V1006</t>
  </si>
  <si>
    <t>Freq</t>
  </si>
  <si>
    <t>V1006_num</t>
  </si>
  <si>
    <t>Urbana</t>
  </si>
  <si>
    <t>Situação do domicílio</t>
  </si>
  <si>
    <t>Rural</t>
  </si>
  <si>
    <t>V0408</t>
  </si>
  <si>
    <t>V0606_num</t>
  </si>
  <si>
    <t>Total</t>
  </si>
  <si>
    <t>Branca</t>
  </si>
  <si>
    <t>Etnia</t>
  </si>
  <si>
    <t>Preta</t>
  </si>
  <si>
    <t>Amarela</t>
  </si>
  <si>
    <t>Parda</t>
  </si>
  <si>
    <t>Indígena</t>
  </si>
  <si>
    <t>Ignorado</t>
  </si>
  <si>
    <t>V1001</t>
  </si>
  <si>
    <t>Norte</t>
  </si>
  <si>
    <t>Região</t>
  </si>
  <si>
    <t>Nordeste</t>
  </si>
  <si>
    <t>Sudeste</t>
  </si>
  <si>
    <t>Sul</t>
  </si>
  <si>
    <t>Centro-Oeste</t>
  </si>
  <si>
    <t>renda_cat</t>
  </si>
  <si>
    <t>Até 1</t>
  </si>
  <si>
    <t>&lt;=1</t>
  </si>
  <si>
    <t>Renda em salários mínimos</t>
  </si>
  <si>
    <t>Até 2</t>
  </si>
  <si>
    <t>&lt;=2</t>
  </si>
  <si>
    <t>Até 4</t>
  </si>
  <si>
    <t>&lt;=4</t>
  </si>
  <si>
    <t>Até 7</t>
  </si>
  <si>
    <t>&lt;=7</t>
  </si>
  <si>
    <t>8 ou mais</t>
  </si>
  <si>
    <t>8+</t>
  </si>
  <si>
    <t>escolar_cat</t>
  </si>
  <si>
    <t>1.0-7anos</t>
  </si>
  <si>
    <t>0 a 7 anos</t>
  </si>
  <si>
    <t>2.8-11anos</t>
  </si>
  <si>
    <t>8 a 11 anos</t>
  </si>
  <si>
    <t>3.12+anos</t>
  </si>
  <si>
    <t>12 anos ou mais</t>
  </si>
  <si>
    <t>&gt;</t>
  </si>
  <si>
    <t>svytable(~filhos_ever_born+idade_categ+escolar_cat,</t>
  </si>
  <si>
    <t>design</t>
  </si>
  <si>
    <t>=</t>
  </si>
  <si>
    <t>mulheres_func_pub_aux)</t>
  </si>
  <si>
    <t>,</t>
  </si>
  <si>
    <t>idade_categ</t>
  </si>
  <si>
    <t>filhos_ever_born</t>
  </si>
  <si>
    <t>Número de mulheres de 45-49 anos</t>
  </si>
  <si>
    <t>Mulheres de 45-49 anos com pelo menos N filhos</t>
  </si>
  <si>
    <t>Razão de Perturição</t>
  </si>
  <si>
    <t>categ</t>
  </si>
  <si>
    <t>15-19</t>
  </si>
  <si>
    <t>20-24</t>
  </si>
  <si>
    <t>25-29</t>
  </si>
  <si>
    <t>30-34</t>
  </si>
  <si>
    <t>35-39</t>
  </si>
  <si>
    <t>40-44</t>
  </si>
  <si>
    <t>45-49</t>
  </si>
  <si>
    <t>0-1</t>
  </si>
  <si>
    <t>1-2</t>
  </si>
  <si>
    <t>2-3</t>
  </si>
  <si>
    <t>4+</t>
  </si>
  <si>
    <t>-</t>
  </si>
  <si>
    <t>0a7</t>
  </si>
  <si>
    <t>8a11</t>
  </si>
  <si>
    <t>12+</t>
  </si>
  <si>
    <t>Todas as mulheres</t>
  </si>
  <si>
    <t>flag_nasc_12m</t>
  </si>
  <si>
    <t>V6664</t>
  </si>
  <si>
    <t>mulheres</t>
  </si>
  <si>
    <t>TEF</t>
  </si>
  <si>
    <t>TEF ajustada</t>
  </si>
  <si>
    <t>ponto_medio</t>
  </si>
  <si>
    <t>Não</t>
  </si>
  <si>
    <t>Sim</t>
  </si>
  <si>
    <t>Mulheres ocupadas</t>
  </si>
  <si>
    <t>Mulheres desocupadas</t>
  </si>
  <si>
    <t>https://sidra.ibge.gov.br/tabela/3579#resultado</t>
  </si>
  <si>
    <t>ocupadas</t>
  </si>
  <si>
    <t>não ocupadas</t>
  </si>
  <si>
    <t>svytable(~idade_categ+flag_nasc_12m+ocupacao_v3,</t>
  </si>
  <si>
    <t>mulheres_2000_aux)</t>
  </si>
  <si>
    <t>svytable(~idade_categ+V6664+ocupacao_v3,</t>
  </si>
  <si>
    <t>mulheres_2010_aux)</t>
  </si>
  <si>
    <t>ocupacao_v3</t>
  </si>
  <si>
    <t>funcionario_publico</t>
  </si>
  <si>
    <t>total mulheres</t>
  </si>
  <si>
    <t>informal</t>
  </si>
  <si>
    <t>militar</t>
  </si>
  <si>
    <t>proprio_consumo</t>
  </si>
  <si>
    <t>sem_remuneracao</t>
  </si>
  <si>
    <t>setor_privado_formal</t>
  </si>
  <si>
    <t>svytable(~filhos_ever_born+idade_categ+ocupacao_v3,</t>
  </si>
  <si>
    <t>svytable(~filhos_ever_born+idade_categ,</t>
  </si>
  <si>
    <t>func publicas</t>
  </si>
  <si>
    <t>data.frame(svytable(~idade_categ</t>
  </si>
  <si>
    <t>mulheres_func_pub_aux))</t>
  </si>
  <si>
    <t>svytable(~idade_categ+V4620</t>
  </si>
  <si>
    <t>mulheres_1filho_aux)</t>
  </si>
  <si>
    <t>V4620</t>
  </si>
  <si>
    <t>idade media</t>
  </si>
  <si>
    <t>===</t>
  </si>
  <si>
    <t>UF:</t>
  </si>
  <si>
    <t>idade</t>
  </si>
  <si>
    <t>média</t>
  </si>
  <si>
    <t>da</t>
  </si>
  <si>
    <t>fecundidade</t>
  </si>
  <si>
    <t>de</t>
  </si>
  <si>
    <t>período</t>
  </si>
  <si>
    <t>n_1filho</t>
  </si>
  <si>
    <t>total_mulheres</t>
  </si>
  <si>
    <t>Idade</t>
  </si>
  <si>
    <t>(UF</t>
  </si>
  <si>
    <t>):</t>
  </si>
  <si>
    <t>V1002</t>
  </si>
  <si>
    <t>Conferindo</t>
  </si>
  <si>
    <t>======================</t>
  </si>
  <si>
    <t>nasc_12m</t>
  </si>
  <si>
    <t>coorte</t>
  </si>
  <si>
    <t>periodo</t>
  </si>
  <si>
    <t>cod_mesorregiao</t>
  </si>
  <si>
    <t>svytable(~idade_categ+cod_mesorregiao</t>
  </si>
  <si>
    <t>svytable(~V0432,design</t>
  </si>
  <si>
    <t>V0432</t>
  </si>
  <si>
    <t>V0633</t>
  </si>
  <si>
    <t>Alfabetização</t>
  </si>
  <si>
    <t>jovens</t>
  </si>
  <si>
    <t>e</t>
  </si>
  <si>
    <t>adultos</t>
  </si>
  <si>
    <t>Antigo</t>
  </si>
  <si>
    <t>ginásio</t>
  </si>
  <si>
    <t>(médio</t>
  </si>
  <si>
    <t>1º</t>
  </si>
  <si>
    <t>ciclo)</t>
  </si>
  <si>
    <t>primário</t>
  </si>
  <si>
    <t>(elementar)</t>
  </si>
  <si>
    <t>Creche,</t>
  </si>
  <si>
    <t>pré-escolar</t>
  </si>
  <si>
    <t>(maternal</t>
  </si>
  <si>
    <t>jardim</t>
  </si>
  <si>
    <t>Doutorado</t>
  </si>
  <si>
    <t>Ensino</t>
  </si>
  <si>
    <t>fundamental</t>
  </si>
  <si>
    <t>ou</t>
  </si>
  <si>
    <t>grau</t>
  </si>
  <si>
    <t>do</t>
  </si>
  <si>
    <t>Especialização</t>
  </si>
  <si>
    <t>nível</t>
  </si>
  <si>
    <t>superior</t>
  </si>
  <si>
    <t>(</t>
  </si>
  <si>
    <t>Mestrado</t>
  </si>
  <si>
    <t>Regular</t>
  </si>
  <si>
    <t>supletivo</t>
  </si>
  <si>
    <t>ensino</t>
  </si>
  <si>
    <t>Superior</t>
  </si>
  <si>
    <t>graduação</t>
  </si>
  <si>
    <t>Supletivo</t>
  </si>
  <si>
    <t>1 – Alfabetização de adultos</t>
  </si>
  <si>
    <t>2 – Antigo primário</t>
  </si>
  <si>
    <t>3 – Antigo ginásio</t>
  </si>
  <si>
    <t>4 – Antigo clássico, científico, etc.</t>
  </si>
  <si>
    <t>5 – Ensino fundamental ou 1º grau</t>
  </si>
  <si>
    <t>6 – Ensino médio ou 2º Grau</t>
  </si>
  <si>
    <t>7 –Superior – graduação</t>
  </si>
  <si>
    <t>8 – Mestrado ou doutorado</t>
  </si>
  <si>
    <t>9 – Nenhum</t>
  </si>
  <si>
    <t>Branco – para os estudantes</t>
  </si>
  <si>
    <t>mulheres_1filho_aux))</t>
  </si>
  <si>
    <t>idade media ao primeiro filho</t>
  </si>
  <si>
    <t>idade media a fecundidade e TFT</t>
  </si>
  <si>
    <t>%</t>
  </si>
  <si>
    <t>sub_grupo_cnae</t>
  </si>
  <si>
    <t>adm_e_gestao_publica</t>
  </si>
  <si>
    <t>educacao</t>
  </si>
  <si>
    <t>outras</t>
  </si>
  <si>
    <t>saude</t>
  </si>
  <si>
    <t>tecnologia</t>
  </si>
  <si>
    <t>svytable(~idade_categ+sub_grupo_cnae,design</t>
  </si>
  <si>
    <t>mulheres_func_pub_aux)#total</t>
  </si>
  <si>
    <t>por</t>
  </si>
  <si>
    <t>grupo</t>
  </si>
  <si>
    <t>cnae</t>
  </si>
  <si>
    <t>Por area de atuacao</t>
  </si>
  <si>
    <t>data.frame(svytable(~sub_grupo_cnae,design</t>
  </si>
  <si>
    <t>ag)</t>
  </si>
  <si>
    <t>total</t>
  </si>
  <si>
    <t>svytable(~idade_categ+sub_grupo_cnae</t>
  </si>
  <si>
    <t xml:space="preserve">Por áre a de atuacao </t>
  </si>
  <si>
    <t>childless - por area de atuacao</t>
  </si>
  <si>
    <t>mulheres_0filho_aux)</t>
  </si>
  <si>
    <t>mulheres_0filho_aux))</t>
  </si>
  <si>
    <t>administrcao</t>
  </si>
  <si>
    <t>TFT</t>
  </si>
  <si>
    <t>idade media a fecundidade</t>
  </si>
  <si>
    <t>TFT coorte</t>
  </si>
  <si>
    <t>svytable(~filhos_ever_born+idade_categ+sub_grupo_cnae,</t>
  </si>
  <si>
    <t>por area</t>
  </si>
  <si>
    <t>svytable(~flag_ocup,</t>
  </si>
  <si>
    <t>flag_ocup</t>
  </si>
  <si>
    <t>Desocupadas</t>
  </si>
  <si>
    <t>Ocupadas</t>
  </si>
  <si>
    <t>data.frame(svytable(~ocupacao_v2,</t>
  </si>
  <si>
    <t>mulheres_2000_aux))</t>
  </si>
  <si>
    <t>ocupacao_v2</t>
  </si>
  <si>
    <t>conta_propria</t>
  </si>
  <si>
    <t>empregadores</t>
  </si>
  <si>
    <t>emprego_com_carteira</t>
  </si>
  <si>
    <t>emprego_sem_carteira</t>
  </si>
  <si>
    <t>svytable(~ocupacao_v2,</t>
  </si>
  <si>
    <t>svytable(~flag_ocup+flag_0filhos,</t>
  </si>
  <si>
    <t>flag_0filhos</t>
  </si>
  <si>
    <t>comfilho</t>
  </si>
  <si>
    <t>semfilho</t>
  </si>
  <si>
    <t>funcpub</t>
  </si>
  <si>
    <t>svytable(~ocupacao_v2+flag_0filhos,</t>
  </si>
  <si>
    <t>svytable(~idade_categ+flag_0filhos+flag_ocup,</t>
  </si>
  <si>
    <t>2000 semfilho</t>
  </si>
  <si>
    <t>2000 % semfilho</t>
  </si>
  <si>
    <t>2010 comfilho</t>
  </si>
  <si>
    <t>2010 semfilho</t>
  </si>
  <si>
    <t>2010 % semfilho</t>
  </si>
  <si>
    <t>(% = semfilho / (comfilho + semfilho))</t>
  </si>
  <si>
    <t>Funcionárias públicas</t>
  </si>
  <si>
    <t>2000 total mulheres</t>
  </si>
  <si>
    <t>2010 semfilho (Freq)</t>
  </si>
  <si>
    <t>2010 total mulheres</t>
  </si>
  <si>
    <t xml:space="preserve">Ocupadas </t>
  </si>
  <si>
    <t>35-49</t>
  </si>
  <si>
    <t>svytable(~filhos_ever_born+idade_categ+flag_ocup,</t>
  </si>
  <si>
    <t>svytable(~idade_categ+flag_ocup,</t>
  </si>
  <si>
    <t>mulheres_tot_1filho_aux)</t>
  </si>
  <si>
    <t>idade media ao primeiro filho - ocupadas</t>
  </si>
  <si>
    <t>Funcionaias publicas</t>
  </si>
  <si>
    <t>TFT Coorte</t>
  </si>
  <si>
    <t>Idade média ao primeiro filho</t>
  </si>
  <si>
    <t>Regressions:</t>
  </si>
  <si>
    <t>Estimate</t>
  </si>
  <si>
    <t>Std.Err</t>
  </si>
  <si>
    <t>z-value</t>
  </si>
  <si>
    <t>P(&gt;|z|)</t>
  </si>
  <si>
    <t>Std.lv</t>
  </si>
  <si>
    <t>Std.all</t>
  </si>
  <si>
    <t>~</t>
  </si>
  <si>
    <t>media_anos_std</t>
  </si>
  <si>
    <t>prop_mais_35</t>
  </si>
  <si>
    <t>prop_mix_raca</t>
  </si>
  <si>
    <t>prop_saude</t>
  </si>
  <si>
    <t>prop_educacao</t>
  </si>
  <si>
    <t>coef</t>
  </si>
  <si>
    <t>corf</t>
  </si>
  <si>
    <t>idade_media_coorte</t>
  </si>
  <si>
    <t>idade_medi_crt</t>
  </si>
  <si>
    <t>prop_sem_filhos_100</t>
  </si>
  <si>
    <t>mulheres por setor</t>
  </si>
  <si>
    <t>Preta/Parda</t>
  </si>
  <si>
    <t>Outras</t>
  </si>
  <si>
    <t>não adicionei o ignorado</t>
  </si>
  <si>
    <t>40-49</t>
  </si>
  <si>
    <t>childless - proporcao de mulheres sem filhos - funcionarias publicas</t>
  </si>
  <si>
    <t>func pub</t>
  </si>
  <si>
    <t>mulheres com zero filhos</t>
  </si>
  <si>
    <t xml:space="preserve">porcentagens </t>
  </si>
  <si>
    <t>valores absolutos</t>
  </si>
  <si>
    <t>0 anos</t>
  </si>
  <si>
    <t>(1 – Creche
2 – Pré-escolar
3 – Classe de alfabetização
4 – Alfabetização de adultos)</t>
  </si>
  <si>
    <t>Curso que frequenta (V0430)</t>
  </si>
  <si>
    <t>Curso mais elevado que frequentou (V0432)</t>
  </si>
  <si>
    <t>V0432 = 1 — Alfabetização de adultos
V0432 = 9 — Nenhum</t>
  </si>
  <si>
    <t>Frequenta escola ou creche (V0429)</t>
  </si>
  <si>
    <t>V0429 = 4 — Nunca frequentou escola ou creche</t>
  </si>
  <si>
    <t>Ensino fundamental em curso, sem nenhum ano completo</t>
  </si>
  <si>
    <t>curso que frequenta (V0629)</t>
  </si>
  <si>
    <t>01- Creche
02- Pré-escolar (maternal e jardim da infância)
03- Classe de alfabetização - CA
04- Alfabetização de jovens e adultos</t>
  </si>
  <si>
    <t>curso mais elevado que frequentou (V0633)</t>
  </si>
  <si>
    <t>01- Creche, pré-escolar (maternal e jardim de infância), classe de alfabetização - CA
02- Alfabetização de jovens e adultos</t>
  </si>
  <si>
    <t>frequentou escola ou creche (V0628)</t>
  </si>
  <si>
    <t>4- Não, nunca frequentou</t>
  </si>
  <si>
    <r>
      <t xml:space="preserve">curso que frequenta (V0629) 05- Regular do ensino fundamental
06- Educação de jovens e adultos - EJA - ou supletivo do ensino fundamental e </t>
    </r>
    <r>
      <rPr>
        <b/>
        <sz val="12"/>
        <color rgb="FFFF0000"/>
        <rFont val="Aptos Narrow (Corpo)"/>
      </rPr>
      <t>simultaneamente</t>
    </r>
    <r>
      <rPr>
        <b/>
        <sz val="12"/>
        <color theme="1"/>
        <rFont val="Aptos Narrow"/>
        <family val="2"/>
        <scheme val="minor"/>
      </rPr>
      <t xml:space="preserve"> serie que frequenta V0631  1- Primeira série</t>
    </r>
  </si>
  <si>
    <r>
      <t xml:space="preserve">Curso que frequenta (V0430):
5 — Ensino fundamental ou 1º grau – regular seriado
6 — Ensino fundamental ou 1º grau – regular não seriado
7 — Supletivo (ensino fundamental ou 1º grau)
E </t>
    </r>
    <r>
      <rPr>
        <sz val="12"/>
        <color rgb="FFFF0000"/>
        <rFont val="Aptos Narrow (Corpo)"/>
      </rPr>
      <t>simultaneamente</t>
    </r>
    <r>
      <rPr>
        <sz val="12"/>
        <color theme="1"/>
        <rFont val="Aptos Narrow"/>
        <family val="2"/>
        <scheme val="minor"/>
      </rPr>
      <t>:
Série que frequenta (V0431 = 1) — Primeira série</t>
    </r>
  </si>
  <si>
    <t>1 ano</t>
  </si>
  <si>
    <t>V0430 e V0432</t>
  </si>
  <si>
    <t>V0432 e V0433</t>
  </si>
  <si>
    <t xml:space="preserve">1 ano </t>
  </si>
  <si>
    <t>V0629 e V0633</t>
  </si>
  <si>
    <t xml:space="preserve"> V0633 e se concluiu V0634 (2 - não) como proxy porque não tem a info de ultima serie concluida </t>
  </si>
  <si>
    <r>
      <t xml:space="preserve">Curso mais elevado que frequentou e série concluída:
V0432 = 2 — Antigo primário
V0432 = 5 — Ensino fundamental ou 1º grau
E </t>
    </r>
    <r>
      <rPr>
        <sz val="12"/>
        <color rgb="FFFF0000"/>
        <rFont val="Aptos Narrow (Corpo)"/>
      </rPr>
      <t>simultaneamente</t>
    </r>
    <r>
      <rPr>
        <sz val="12"/>
        <color theme="1"/>
        <rFont val="Aptos Narrow"/>
        <family val="2"/>
        <scheme val="minor"/>
      </rPr>
      <t>:
V0433 = 1 — Primeira série concluída com aprovação</t>
    </r>
  </si>
  <si>
    <r>
      <t xml:space="preserve">curso que frequenta (V0629)  05- Regular do ensino fundamental
06- Educação de jovens e adultos - EJA - ou supletivo do ensino fundamental e </t>
    </r>
    <r>
      <rPr>
        <sz val="12"/>
        <color rgb="FFFF0000"/>
        <rFont val="Aptos Narrow (Corpo)"/>
      </rPr>
      <t>simultaneamente</t>
    </r>
    <r>
      <rPr>
        <sz val="12"/>
        <color theme="1"/>
        <rFont val="Aptos Narrow"/>
        <family val="2"/>
        <scheme val="minor"/>
      </rPr>
      <t xml:space="preserve"> cserie que frequenta (V0631 - 2- Segunda série)</t>
    </r>
  </si>
  <si>
    <r>
      <t xml:space="preserve">Curso que frequenta (V0430) 5 – Ensino fundamental ou 1º grau – regular seriado
6 – Ensino fundamental ou 1º grau – regular não-seriado
7 – Supletivo (ensino fundamental ou 1º grau) e </t>
    </r>
    <r>
      <rPr>
        <sz val="12"/>
        <color rgb="FFFF0000"/>
        <rFont val="Aptos Narrow (Corpo)"/>
      </rPr>
      <t>simultaneamente</t>
    </r>
    <r>
      <rPr>
        <sz val="12"/>
        <color theme="1"/>
        <rFont val="Aptos Narrow"/>
        <family val="2"/>
        <scheme val="minor"/>
      </rPr>
      <t xml:space="preserve"> serie que frequenta(V0431) ==2 – Segunda Série</t>
    </r>
  </si>
  <si>
    <t>((V0430 %in% c(5, 6, 7)) &amp; V0431 == 3)</t>
  </si>
  <si>
    <t xml:space="preserve">2 anos </t>
  </si>
  <si>
    <r>
      <t xml:space="preserve">curso que frequenta (5 – Ensino fundamental ou 1º grau – regular seriado
6 – Ensino fundamental ou 1º grau – regular não-seriado
7 – Supletivo (ensino fundamental ou 1º grau)) </t>
    </r>
    <r>
      <rPr>
        <sz val="12"/>
        <color rgb="FFFF0000"/>
        <rFont val="Aptos Narrow (Corpo)"/>
      </rPr>
      <t>simultaneamente</t>
    </r>
    <r>
      <rPr>
        <sz val="12"/>
        <color theme="1"/>
        <rFont val="Aptos Narrow"/>
        <family val="2"/>
        <scheme val="minor"/>
      </rPr>
      <t xml:space="preserve"> com serie que frequenta 3 – Terceira Série</t>
    </r>
  </si>
  <si>
    <t>não tem equivalencia</t>
  </si>
  <si>
    <t>((V0432 == 2 | V0432 == 5) &amp; V0433 == 2)</t>
  </si>
  <si>
    <t>V0629 e V0631</t>
  </si>
  <si>
    <r>
      <t xml:space="preserve">curso que frequenta (V0629): 05 Regular do ensino fundamental; 06 EJA/supletivo do fundamental e </t>
    </r>
    <r>
      <rPr>
        <sz val="12"/>
        <color rgb="FFFF0000"/>
        <rFont val="Aptos Narrow (Corpo)"/>
      </rPr>
      <t>simultaneamente</t>
    </r>
    <r>
      <rPr>
        <sz val="12"/>
        <color theme="1"/>
        <rFont val="Aptos Narrow"/>
        <family val="2"/>
        <scheme val="minor"/>
      </rPr>
      <t xml:space="preserve"> série que frequenta (V0631 = 3) — Terceira série</t>
    </r>
  </si>
  <si>
    <t>curso mais elevado que frequentou (V0633): 03 Antigo primário; 05 Ensino fundamental (1ª a 3ª); 08 Supletivo fundamental e simultaneamente não concluiu (V0634 = 2) — usar como proxy apenas quando não houver V0631/V0630</t>
  </si>
  <si>
    <t>V0633 e V0634 (fallback/proxy)</t>
  </si>
  <si>
    <t># Anos de estudo = 3
      ((V0430 %in% c(5, 6, 7)) &amp; V0431 == 4) | ((V0432 == 2 | V0432 == 5) &amp; V0433 == 3) ~ 3,</t>
  </si>
  <si>
    <t>3 anos</t>
  </si>
  <si>
    <r>
      <t xml:space="preserve">curso mais elevado que já frequentou (2 – Antigo primário
5 – Ensino fundamental ou 1º grau simultaneo com ultima serie concluida com aprovacao 2 – Segunda Série) - </t>
    </r>
    <r>
      <rPr>
        <b/>
        <sz val="12"/>
        <color theme="8"/>
        <rFont val="Aptos Narrow"/>
        <scheme val="minor"/>
      </rPr>
      <t>TALVEZ</t>
    </r>
  </si>
  <si>
    <t>(V0629 %in% c(5, 6) &amp; (V0631 == 4 | V0630 == 4)) ~ 3,</t>
  </si>
  <si>
    <t>3 NOS</t>
  </si>
  <si>
    <t>4 anos</t>
  </si>
  <si>
    <t>((V0430 %in% c(5, 6, 7)) &amp; V0431 == 5) | 
        ((V0432 == 2 &amp; V0433 &gt;= 4 &amp; V0433 &lt; 9) | (V0432 == 5 &amp; V0433 == 4)) ~ 4,</t>
  </si>
  <si>
    <t>(V0629 %in% c(5, 6) &amp; (V0630  == 5)) ~ 4,</t>
  </si>
  <si>
    <t>data.frame(svytable(~escolar_cat</t>
  </si>
  <si>
    <t>mulheres_func_pub_aux))##</t>
  </si>
  <si>
    <t>estudo</t>
  </si>
  <si>
    <t>Anos de estudo</t>
  </si>
  <si>
    <t>Censo 2000 – critério conceitual</t>
  </si>
  <si>
    <t>Censo 2010 – critério equivalente</t>
  </si>
  <si>
    <t>2 anos</t>
  </si>
  <si>
    <t>5 anos</t>
  </si>
  <si>
    <t>6 anos</t>
  </si>
  <si>
    <t>7 anos</t>
  </si>
  <si>
    <t>8 anos</t>
  </si>
  <si>
    <t>9 anos</t>
  </si>
  <si>
    <t>10 anos</t>
  </si>
  <si>
    <t>11 anos</t>
  </si>
  <si>
    <t>Ensino médio completo</t>
  </si>
  <si>
    <t>12 anos</t>
  </si>
  <si>
    <t>13 anos</t>
  </si>
  <si>
    <t>14 anos</t>
  </si>
  <si>
    <t>15 anos</t>
  </si>
  <si>
    <t>Mestrado concluído</t>
  </si>
  <si>
    <t>16 anos</t>
  </si>
  <si>
    <t>Doutorado concluído</t>
  </si>
  <si>
    <r>
      <t xml:space="preserve">Nunca frequentou escola </t>
    </r>
    <r>
      <rPr>
        <b/>
        <sz val="12"/>
        <color theme="8"/>
        <rFont val="Aptos Narrow"/>
        <family val="2"/>
        <scheme val="minor"/>
      </rPr>
      <t>ou</t>
    </r>
    <r>
      <rPr>
        <sz val="12"/>
        <color theme="8"/>
        <rFont val="Aptos Narrow"/>
        <family val="2"/>
        <scheme val="minor"/>
      </rPr>
      <t xml:space="preserve"> frequentou apenas educação infantil / alfabetização </t>
    </r>
    <r>
      <rPr>
        <b/>
        <sz val="12"/>
        <color theme="8"/>
        <rFont val="Aptos Narrow"/>
        <family val="2"/>
        <scheme val="minor"/>
      </rPr>
      <t>sem concluir nenhum ano</t>
    </r>
  </si>
  <si>
    <r>
      <t xml:space="preserve">Nunca frequentou escola </t>
    </r>
    <r>
      <rPr>
        <b/>
        <sz val="12"/>
        <color theme="8"/>
        <rFont val="Aptos Narrow"/>
        <family val="2"/>
        <scheme val="minor"/>
      </rPr>
      <t>ou</t>
    </r>
    <r>
      <rPr>
        <sz val="12"/>
        <color theme="8"/>
        <rFont val="Aptos Narrow"/>
        <family val="2"/>
        <scheme val="minor"/>
      </rPr>
      <t xml:space="preserve"> frequenta/frequentou apenas creche, pré-escola, classe de alfabetização ou alfabetização de jovens e adultos, </t>
    </r>
    <r>
      <rPr>
        <b/>
        <sz val="12"/>
        <color theme="8"/>
        <rFont val="Aptos Narrow"/>
        <family val="2"/>
        <scheme val="minor"/>
      </rPr>
      <t>sem conclusão</t>
    </r>
  </si>
  <si>
    <r>
      <t xml:space="preserve">Ensino fundamental com </t>
    </r>
    <r>
      <rPr>
        <b/>
        <sz val="12"/>
        <color theme="8"/>
        <rFont val="Aptos Narrow"/>
        <family val="2"/>
        <scheme val="minor"/>
      </rPr>
      <t>1ª série concluída</t>
    </r>
  </si>
  <si>
    <r>
      <t xml:space="preserve">Ensino fundamental </t>
    </r>
    <r>
      <rPr>
        <b/>
        <sz val="12"/>
        <color theme="8"/>
        <rFont val="Aptos Narrow"/>
        <family val="2"/>
        <scheme val="minor"/>
      </rPr>
      <t>cursando 2º ano / 1ª série</t>
    </r>
    <r>
      <rPr>
        <sz val="12"/>
        <color theme="8"/>
        <rFont val="Aptos Narrow"/>
        <family val="2"/>
        <scheme val="minor"/>
      </rPr>
      <t xml:space="preserve"> </t>
    </r>
    <r>
      <rPr>
        <b/>
        <sz val="12"/>
        <color theme="8"/>
        <rFont val="Aptos Narrow"/>
        <family val="2"/>
        <scheme val="minor"/>
      </rPr>
      <t>ou</t>
    </r>
    <r>
      <rPr>
        <sz val="12"/>
        <color theme="8"/>
        <rFont val="Aptos Narrow"/>
        <family val="2"/>
        <scheme val="minor"/>
      </rPr>
      <t xml:space="preserve"> alfabetização/infantil </t>
    </r>
    <r>
      <rPr>
        <b/>
        <sz val="12"/>
        <color theme="8"/>
        <rFont val="Aptos Narrow"/>
        <family val="2"/>
        <scheme val="minor"/>
      </rPr>
      <t>concluída</t>
    </r>
  </si>
  <si>
    <r>
      <t xml:space="preserve">Ensino fundamental com </t>
    </r>
    <r>
      <rPr>
        <b/>
        <sz val="12"/>
        <color theme="8"/>
        <rFont val="Aptos Narrow"/>
        <family val="2"/>
        <scheme val="minor"/>
      </rPr>
      <t>2ª série concluída</t>
    </r>
  </si>
  <si>
    <r>
      <t xml:space="preserve">Ensino fundamental </t>
    </r>
    <r>
      <rPr>
        <b/>
        <sz val="12"/>
        <color theme="8"/>
        <rFont val="Aptos Narrow"/>
        <family val="2"/>
        <scheme val="minor"/>
      </rPr>
      <t>cursando 3º ano / 2ª série</t>
    </r>
  </si>
  <si>
    <r>
      <t xml:space="preserve">Ensino fundamental com </t>
    </r>
    <r>
      <rPr>
        <b/>
        <sz val="12"/>
        <color theme="8"/>
        <rFont val="Aptos Narrow"/>
        <family val="2"/>
        <scheme val="minor"/>
      </rPr>
      <t>3ª série concluída</t>
    </r>
  </si>
  <si>
    <r>
      <t xml:space="preserve">Ensino fundamental </t>
    </r>
    <r>
      <rPr>
        <b/>
        <sz val="12"/>
        <color theme="8"/>
        <rFont val="Aptos Narrow"/>
        <family val="2"/>
        <scheme val="minor"/>
      </rPr>
      <t>cursando 4º ano / 3ª série</t>
    </r>
  </si>
  <si>
    <r>
      <t xml:space="preserve">Ensino fundamental com </t>
    </r>
    <r>
      <rPr>
        <b/>
        <sz val="12"/>
        <color theme="8"/>
        <rFont val="Aptos Narrow"/>
        <family val="2"/>
        <scheme val="minor"/>
      </rPr>
      <t>4ª série / 5º ano concluído</t>
    </r>
  </si>
  <si>
    <r>
      <t xml:space="preserve">Ensino fundamental </t>
    </r>
    <r>
      <rPr>
        <b/>
        <sz val="12"/>
        <color theme="8"/>
        <rFont val="Aptos Narrow"/>
        <family val="2"/>
        <scheme val="minor"/>
      </rPr>
      <t>cursando 5º ano / 4ª série</t>
    </r>
    <r>
      <rPr>
        <sz val="12"/>
        <color theme="8"/>
        <rFont val="Aptos Narrow"/>
        <family val="2"/>
        <scheme val="minor"/>
      </rPr>
      <t xml:space="preserve"> </t>
    </r>
    <r>
      <rPr>
        <b/>
        <sz val="12"/>
        <color theme="8"/>
        <rFont val="Aptos Narrow"/>
        <family val="2"/>
        <scheme val="minor"/>
      </rPr>
      <t>ou</t>
    </r>
    <r>
      <rPr>
        <sz val="12"/>
        <color theme="8"/>
        <rFont val="Aptos Narrow"/>
        <family val="2"/>
        <scheme val="minor"/>
      </rPr>
      <t xml:space="preserve"> fundamental inicial concluído</t>
    </r>
  </si>
  <si>
    <r>
      <t xml:space="preserve">Ensino fundamental com </t>
    </r>
    <r>
      <rPr>
        <b/>
        <sz val="12"/>
        <color theme="8"/>
        <rFont val="Aptos Narrow"/>
        <family val="2"/>
        <scheme val="minor"/>
      </rPr>
      <t>5ª série / 6º ano concluído</t>
    </r>
  </si>
  <si>
    <r>
      <t xml:space="preserve">Ensino fundamental </t>
    </r>
    <r>
      <rPr>
        <b/>
        <sz val="12"/>
        <color theme="8"/>
        <rFont val="Aptos Narrow"/>
        <family val="2"/>
        <scheme val="minor"/>
      </rPr>
      <t>cursando 6º ano / 5ª série</t>
    </r>
  </si>
  <si>
    <r>
      <t xml:space="preserve">Ensino fundamental com </t>
    </r>
    <r>
      <rPr>
        <b/>
        <sz val="12"/>
        <color theme="8"/>
        <rFont val="Aptos Narrow"/>
        <family val="2"/>
        <scheme val="minor"/>
      </rPr>
      <t>6ª série / 7º ano concluído</t>
    </r>
  </si>
  <si>
    <r>
      <t xml:space="preserve">Ensino fundamental </t>
    </r>
    <r>
      <rPr>
        <b/>
        <sz val="12"/>
        <color theme="8"/>
        <rFont val="Aptos Narrow"/>
        <family val="2"/>
        <scheme val="minor"/>
      </rPr>
      <t>cursando 7º ano / 6ª série</t>
    </r>
  </si>
  <si>
    <r>
      <t xml:space="preserve">Ensino fundamental com </t>
    </r>
    <r>
      <rPr>
        <b/>
        <sz val="12"/>
        <color theme="8"/>
        <rFont val="Aptos Narrow"/>
        <family val="2"/>
        <scheme val="minor"/>
      </rPr>
      <t>7ª série / 8º ano concluído</t>
    </r>
  </si>
  <si>
    <r>
      <t xml:space="preserve">Ensino fundamental </t>
    </r>
    <r>
      <rPr>
        <b/>
        <sz val="12"/>
        <color theme="8"/>
        <rFont val="Aptos Narrow"/>
        <family val="2"/>
        <scheme val="minor"/>
      </rPr>
      <t>cursando 8º ano / 7ª série</t>
    </r>
  </si>
  <si>
    <r>
      <t>Ensino fundamental completo</t>
    </r>
    <r>
      <rPr>
        <sz val="12"/>
        <color theme="8"/>
        <rFont val="Aptos Narrow"/>
        <family val="2"/>
        <scheme val="minor"/>
      </rPr>
      <t xml:space="preserve"> (8ª série / 9º ano)</t>
    </r>
  </si>
  <si>
    <r>
      <t>Ensino fundamental completo</t>
    </r>
    <r>
      <rPr>
        <sz val="12"/>
        <color theme="8"/>
        <rFont val="Aptos Narrow"/>
        <family val="2"/>
        <scheme val="minor"/>
      </rPr>
      <t xml:space="preserve"> </t>
    </r>
    <r>
      <rPr>
        <b/>
        <sz val="12"/>
        <color theme="8"/>
        <rFont val="Aptos Narrow"/>
        <family val="2"/>
        <scheme val="minor"/>
      </rPr>
      <t>ou</t>
    </r>
    <r>
      <rPr>
        <sz val="12"/>
        <color theme="8"/>
        <rFont val="Aptos Narrow"/>
        <family val="2"/>
        <scheme val="minor"/>
      </rPr>
      <t xml:space="preserve"> cursando 9º ano</t>
    </r>
  </si>
  <si>
    <r>
      <t xml:space="preserve">Ensino médio </t>
    </r>
    <r>
      <rPr>
        <b/>
        <sz val="12"/>
        <color theme="8"/>
        <rFont val="Aptos Narrow"/>
        <family val="2"/>
        <scheme val="minor"/>
      </rPr>
      <t>incompleto</t>
    </r>
    <r>
      <rPr>
        <sz val="12"/>
        <color theme="8"/>
        <rFont val="Aptos Narrow"/>
        <family val="2"/>
        <scheme val="minor"/>
      </rPr>
      <t xml:space="preserve"> (1º ano do médio)</t>
    </r>
  </si>
  <si>
    <r>
      <t xml:space="preserve">Ensino médio </t>
    </r>
    <r>
      <rPr>
        <b/>
        <sz val="12"/>
        <color theme="8"/>
        <rFont val="Aptos Narrow"/>
        <family val="2"/>
        <scheme val="minor"/>
      </rPr>
      <t>cursando 1º/2º ano</t>
    </r>
  </si>
  <si>
    <r>
      <t xml:space="preserve">Ensino médio </t>
    </r>
    <r>
      <rPr>
        <b/>
        <sz val="12"/>
        <color theme="8"/>
        <rFont val="Aptos Narrow"/>
        <family val="2"/>
        <scheme val="minor"/>
      </rPr>
      <t>incompleto avançado</t>
    </r>
  </si>
  <si>
    <r>
      <t xml:space="preserve">Ensino médio </t>
    </r>
    <r>
      <rPr>
        <b/>
        <sz val="12"/>
        <color theme="8"/>
        <rFont val="Aptos Narrow"/>
        <family val="2"/>
        <scheme val="minor"/>
      </rPr>
      <t>cursando 2º/3º ano</t>
    </r>
  </si>
  <si>
    <r>
      <t xml:space="preserve">Ensino superior </t>
    </r>
    <r>
      <rPr>
        <b/>
        <sz val="12"/>
        <color theme="8"/>
        <rFont val="Aptos Narrow"/>
        <family val="2"/>
        <scheme val="minor"/>
      </rPr>
      <t>iniciado / incompleto</t>
    </r>
  </si>
  <si>
    <r>
      <t xml:space="preserve">Ensino superior de graduação </t>
    </r>
    <r>
      <rPr>
        <b/>
        <sz val="12"/>
        <color theme="8"/>
        <rFont val="Aptos Narrow"/>
        <family val="2"/>
        <scheme val="minor"/>
      </rPr>
      <t>em curso ou incompleto</t>
    </r>
  </si>
  <si>
    <r>
      <t xml:space="preserve">Ensino superior </t>
    </r>
    <r>
      <rPr>
        <b/>
        <sz val="12"/>
        <color theme="8"/>
        <rFont val="Aptos Narrow"/>
        <family val="2"/>
        <scheme val="minor"/>
      </rPr>
      <t>em estágio avançado</t>
    </r>
  </si>
  <si>
    <r>
      <t xml:space="preserve">Ensino superior </t>
    </r>
    <r>
      <rPr>
        <b/>
        <sz val="12"/>
        <color theme="8"/>
        <rFont val="Aptos Narrow"/>
        <family val="2"/>
        <scheme val="minor"/>
      </rPr>
      <t>concluído (graduação completa)</t>
    </r>
  </si>
  <si>
    <r>
      <t xml:space="preserve">Especialização </t>
    </r>
    <r>
      <rPr>
        <b/>
        <sz val="12"/>
        <color theme="8"/>
        <rFont val="Aptos Narrow"/>
        <family val="2"/>
        <scheme val="minor"/>
      </rPr>
      <t>ou</t>
    </r>
    <r>
      <rPr>
        <sz val="12"/>
        <color theme="8"/>
        <rFont val="Aptos Narrow"/>
        <family val="2"/>
        <scheme val="minor"/>
      </rPr>
      <t xml:space="preserve"> superior muito avançado</t>
    </r>
  </si>
  <si>
    <r>
      <t xml:space="preserve">Especialização concluída </t>
    </r>
    <r>
      <rPr>
        <b/>
        <sz val="12"/>
        <color theme="8"/>
        <rFont val="Aptos Narrow"/>
        <family val="2"/>
        <scheme val="minor"/>
      </rPr>
      <t>ou</t>
    </r>
    <r>
      <rPr>
        <sz val="12"/>
        <color theme="8"/>
        <rFont val="Aptos Narrow"/>
        <family val="2"/>
        <scheme val="minor"/>
      </rPr>
      <t xml:space="preserve"> mestrado incompleto</t>
    </r>
  </si>
  <si>
    <t>Escolaridade</t>
  </si>
  <si>
    <t>table(mulheres_func_pub$V4752)</t>
  </si>
  <si>
    <t>Tópico</t>
  </si>
  <si>
    <t>Status na tese</t>
  </si>
  <si>
    <t>Subtópicos a abordar (se faltar)</t>
  </si>
  <si>
    <t>O que tirar / ajustar (se já tem)</t>
  </si>
  <si>
    <t>Transição da fecundidade no Brasil</t>
  </si>
  <si>
    <r>
      <t xml:space="preserve">✅ </t>
    </r>
    <r>
      <rPr>
        <b/>
        <sz val="12"/>
        <color theme="1"/>
        <rFont val="Aptos Narrow"/>
        <family val="2"/>
        <scheme val="minor"/>
      </rPr>
      <t>Já tem (forte)</t>
    </r>
  </si>
  <si>
    <t>– Declínio da TFT– Heterogeneidade regional e social– Papel da escolaridade feminina</t>
  </si>
  <si>
    <t>– Evitar leituras normativas (“estágio final”, “modernização”)– Reduzir frases genéricas</t>
  </si>
  <si>
    <t>Mulheres no mercado de trabalho e maternidade</t>
  </si>
  <si>
    <t>– Custos de oportunidade do tempo– Dupla jornada– Diferença formal × informal</t>
  </si>
  <si>
    <t>– Evitar repetir argumentos em várias seções– Enxugar trechos muito descritivos</t>
  </si>
  <si>
    <t>Setor público como contexto institucional</t>
  </si>
  <si>
    <r>
      <t xml:space="preserve">✅ </t>
    </r>
    <r>
      <rPr>
        <b/>
        <sz val="12"/>
        <color theme="1"/>
        <rFont val="Aptos Narrow"/>
        <family val="2"/>
        <scheme val="minor"/>
      </rPr>
      <t>Já tem (central)</t>
    </r>
  </si>
  <si>
    <t>– Estabilidade e previsibilidade– Licença-maternidade e jornada– Benefícios não monetários</t>
  </si>
  <si>
    <t>– Tirar qualquer tom de “vantagem automática”– Evitar sugerir causalidade direta</t>
  </si>
  <si>
    <t>Heterogeneidade interna do setor público</t>
  </si>
  <si>
    <r>
      <t xml:space="preserve">⚠️ </t>
    </r>
    <r>
      <rPr>
        <b/>
        <sz val="12"/>
        <color theme="1"/>
        <rFont val="Aptos Narrow"/>
        <family val="2"/>
        <scheme val="minor"/>
      </rPr>
      <t>Tem, mas pode fortalecer</t>
    </r>
  </si>
  <si>
    <t>– Educação × saúde × administração– Turnos, carga emocional, exigências físicas</t>
  </si>
  <si>
    <t>– Evitar excesso de descrição institucional– Focar só no que afeta fecundidade</t>
  </si>
  <si>
    <t>Adiamento da maternidade / calendário reprodutivo</t>
  </si>
  <si>
    <r>
      <t xml:space="preserve">✅ </t>
    </r>
    <r>
      <rPr>
        <b/>
        <sz val="12"/>
        <color theme="1"/>
        <rFont val="Aptos Narrow"/>
        <family val="2"/>
        <scheme val="minor"/>
      </rPr>
      <t>Já tem</t>
    </r>
  </si>
  <si>
    <t>– Idade ao primeiro filho– Efeito tempo (tempo effect)– Diferença entre período e coorte</t>
  </si>
  <si>
    <t>– Não misturar com mudança de valores– Não confundir adiamento com rejeição</t>
  </si>
  <si>
    <t>Mulheres sem filhos (childlessness)</t>
  </si>
  <si>
    <r>
      <t xml:space="preserve">⚠️ </t>
    </r>
    <r>
      <rPr>
        <b/>
        <sz val="12"/>
        <color theme="1"/>
        <rFont val="Aptos Narrow"/>
        <family val="2"/>
        <scheme val="minor"/>
      </rPr>
      <t>Tem, mas disperso</t>
    </r>
  </si>
  <si>
    <t>– Childlessness como resultado de trajetórias– Janela reprodutiva estreita– Não transição à 1ª paridade</t>
  </si>
  <si>
    <t>– Unificar em um subtópico próprio– Evitar tratar só como “escolha”</t>
  </si>
  <si>
    <t>Fecundidade desejada × realizada (PNDS)</t>
  </si>
  <si>
    <t>– Coerência entre desejo e realização– Capacidade de controle reprodutivo</t>
  </si>
  <si>
    <t>– Evitar leitura normativa (“melhor planejamento”)</t>
  </si>
  <si>
    <t>Segunda Transição Demográfica</t>
  </si>
  <si>
    <r>
      <t xml:space="preserve">⚠️ </t>
    </r>
    <r>
      <rPr>
        <b/>
        <sz val="12"/>
        <color theme="1"/>
        <rFont val="Aptos Narrow"/>
        <family val="2"/>
        <scheme val="minor"/>
      </rPr>
      <t>Tem (problemático)</t>
    </r>
  </si>
  <si>
    <t>(não acrescentar)</t>
  </si>
  <si>
    <t>❌ Tirar como eixo teórico✔ Se ficar, apenas menção contextual</t>
  </si>
  <si>
    <t>Valores, preferências e ideais familiares</t>
  </si>
  <si>
    <r>
      <t xml:space="preserve">❌ </t>
    </r>
    <r>
      <rPr>
        <b/>
        <sz val="12"/>
        <color theme="1"/>
        <rFont val="Aptos Narrow"/>
        <family val="2"/>
        <scheme val="minor"/>
      </rPr>
      <t>Não tem (e não precisa)</t>
    </r>
  </si>
  <si>
    <r>
      <t>(opcional)</t>
    </r>
    <r>
      <rPr>
        <sz val="12"/>
        <color theme="1"/>
        <rFont val="Aptos Narrow"/>
        <family val="2"/>
        <scheme val="minor"/>
      </rPr>
      <t xml:space="preserve"> apenas se conectar com PNDS</t>
    </r>
  </si>
  <si>
    <t>❌ Não abrir esse debate (foge do foco)</t>
  </si>
  <si>
    <t>1.2 Mulheres, mercado de trabalho e fecundidade</t>
  </si>
  <si>
    <t>1.4 Heterogeneidade interna do setor público</t>
  </si>
  <si>
    <t>1.5 Adiamento da maternidade, calendário reprodutivo e não transição à primeira paridade</t>
  </si>
  <si>
    <t>Capítulo 1 – Revisão da literatura</t>
  </si>
  <si>
    <t>1.1 Transição da fecundidade no Brasil</t>
  </si>
  <si>
    <t>→ fenômeno, ritmo, heterogeneidades</t>
  </si>
  <si>
    <t>→ mecanismos gerais, escolaridade, custos, conciliação</t>
  </si>
  <si>
    <t>1.3 O setor público como contexto institucional específico</t>
  </si>
  <si>
    <t>→ estabilidade, benefícios, previsibilidade</t>
  </si>
  <si>
    <t>→ saúde, educação, administração</t>
  </si>
  <si>
    <t>→ idade ao primeiro filho, adiamento prolongado, mulheres sem filhos</t>
  </si>
  <si>
    <t>Fecundidade no Brasil
        ↓
Mulheres no mercado de trabalho
        ↓
Setor público como arranjo institucional
        ↓
Heterogeneidade setorial no funcionalismo
        ↓
Preferências reprodutivas (filhos desejados)
        ↓
Adiamento da maternidade e fecundidade observada</t>
  </si>
  <si>
    <t>svytable(~idade_categ+sub_grupo_cnae,</t>
  </si>
  <si>
    <t>adm e gestao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</si>
</sst>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0.0%"/>
    <numFmt numFmtId="165" formatCode="_-* #,##0_-;\-* #,##0_-;_-* &quot;-&quot;??_-;_-@"/>
    <numFmt numFmtId="166" formatCode="0.000"/>
    <numFmt numFmtId="167" formatCode="0.0"/>
    <numFmt numFmtId="168" formatCode="#,##0.0"/>
    <numFmt numFmtId="169" formatCode="_-* #,##0_-;\-* #,##0_-;_-* &quot;-&quot;??_-;_-@_-"/>
  </numFmts>
  <fonts count="26" x14ac:knownFonts="1">
    <font>
      <sz val="12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0"/>
      <color rgb="FF0000FF"/>
      <name val="Lucida Console"/>
      <family val="3"/>
    </font>
    <font>
      <sz val="10"/>
      <color rgb="FF000000"/>
      <name val="Lucida Console"/>
      <family val="3"/>
    </font>
    <font>
      <b/>
      <sz val="11"/>
      <color theme="1"/>
      <name val="Aptos Narrow"/>
      <family val="2"/>
    </font>
    <font>
      <sz val="11"/>
      <name val="Aptos Narrow"/>
      <family val="2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"/>
      <color theme="0"/>
      <name val="Aptos Narrow"/>
      <family val="2"/>
    </font>
    <font>
      <sz val="11"/>
      <color theme="1"/>
      <name val="Arial"/>
      <family val="2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6"/>
      <color rgb="FF000000"/>
      <name val="Times New Roman"/>
      <family val="1"/>
    </font>
    <font>
      <sz val="11"/>
      <color theme="0"/>
      <name val="Aptos Narrow"/>
      <scheme val="minor"/>
    </font>
    <font>
      <sz val="11"/>
      <color theme="1"/>
      <name val="Aptos Narrow"/>
    </font>
    <font>
      <sz val="11"/>
      <color rgb="FF00000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2"/>
      <color rgb="FFFF0000"/>
      <name val="Aptos Narrow (Corpo)"/>
    </font>
    <font>
      <sz val="12"/>
      <color rgb="FFFF0000"/>
      <name val="Aptos Narrow (Corpo)"/>
    </font>
    <font>
      <sz val="8"/>
      <name val="Aptos Narrow"/>
      <family val="2"/>
      <scheme val="minor"/>
    </font>
    <font>
      <sz val="12"/>
      <color theme="8"/>
      <name val="Aptos Narrow"/>
      <family val="2"/>
      <scheme val="minor"/>
    </font>
    <font>
      <b/>
      <sz val="12"/>
      <color theme="8"/>
      <name val="Aptos Narrow"/>
      <scheme val="minor"/>
    </font>
    <font>
      <b/>
      <sz val="12"/>
      <color theme="8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/>
        <bgColor theme="8"/>
      </patternFill>
    </fill>
    <fill>
      <patternFill patternType="solid">
        <fgColor rgb="FF83CAEB"/>
        <bgColor rgb="FF83CAEB"/>
      </patternFill>
    </fill>
    <fill>
      <patternFill patternType="solid">
        <fgColor rgb="FFF1CEEE"/>
        <bgColor rgb="FFF1CEEE"/>
      </patternFill>
    </fill>
    <fill>
      <patternFill patternType="solid">
        <fgColor rgb="FF95DCF7"/>
        <bgColor rgb="FF95DCF7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2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 style="double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double">
        <color indexed="64"/>
      </bottom>
      <diagonal/>
    </border>
  </borders>
  <cellStyleXfs count="7">
    <xf numFmtId="0" fontId="0" fillId="0" borderId="0"/>
    <xf numFmtId="0" fontId="1" fillId="0" borderId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6" fillId="0" borderId="0"/>
    <xf numFmtId="43" fontId="6" fillId="0" borderId="0" applyFont="0" applyFill="0" applyBorder="0" applyAlignment="0" applyProtection="0"/>
  </cellStyleXfs>
  <cellXfs count="185">
    <xf numFmtId="0" fontId="0" fillId="0" borderId="0" xfId="0"/>
    <xf numFmtId="0" fontId="1" fillId="0" borderId="0" xfId="1"/>
    <xf numFmtId="0" fontId="1" fillId="2" borderId="0" xfId="1" applyFill="1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1" xfId="1" applyFont="1" applyBorder="1"/>
    <xf numFmtId="1" fontId="1" fillId="0" borderId="0" xfId="1" applyNumberFormat="1"/>
    <xf numFmtId="164" fontId="0" fillId="0" borderId="0" xfId="2" applyNumberFormat="1" applyFont="1"/>
    <xf numFmtId="0" fontId="4" fillId="0" borderId="0" xfId="1" applyFont="1" applyAlignment="1">
      <alignment horizontal="center" wrapText="1"/>
    </xf>
    <xf numFmtId="0" fontId="4" fillId="0" borderId="2" xfId="1" applyFont="1" applyBorder="1" applyAlignment="1">
      <alignment horizontal="center" vertical="center"/>
    </xf>
    <xf numFmtId="0" fontId="6" fillId="0" borderId="0" xfId="1" applyFont="1"/>
    <xf numFmtId="0" fontId="7" fillId="0" borderId="0" xfId="1" applyFont="1" applyAlignment="1">
      <alignment horizontal="center" vertical="center"/>
    </xf>
    <xf numFmtId="164" fontId="7" fillId="0" borderId="0" xfId="1" applyNumberFormat="1" applyFont="1" applyAlignment="1">
      <alignment horizontal="center"/>
    </xf>
    <xf numFmtId="0" fontId="2" fillId="3" borderId="0" xfId="1" applyFont="1" applyFill="1" applyAlignment="1">
      <alignment vertical="center"/>
    </xf>
    <xf numFmtId="0" fontId="3" fillId="3" borderId="0" xfId="1" applyFont="1" applyFill="1" applyAlignment="1">
      <alignment vertical="center"/>
    </xf>
    <xf numFmtId="0" fontId="4" fillId="0" borderId="3" xfId="1" applyFont="1" applyBorder="1" applyAlignment="1">
      <alignment horizontal="center" vertical="center"/>
    </xf>
    <xf numFmtId="9" fontId="4" fillId="0" borderId="3" xfId="1" applyNumberFormat="1" applyFont="1" applyBorder="1" applyAlignment="1">
      <alignment horizontal="center" vertical="center"/>
    </xf>
    <xf numFmtId="164" fontId="7" fillId="0" borderId="0" xfId="1" applyNumberFormat="1" applyFont="1" applyAlignment="1">
      <alignment horizontal="center" vertical="center"/>
    </xf>
    <xf numFmtId="0" fontId="1" fillId="0" borderId="0" xfId="1" applyAlignment="1">
      <alignment horizontal="center"/>
    </xf>
    <xf numFmtId="164" fontId="1" fillId="0" borderId="0" xfId="1" applyNumberFormat="1" applyAlignment="1">
      <alignment horizontal="center"/>
    </xf>
    <xf numFmtId="0" fontId="4" fillId="0" borderId="0" xfId="1" applyFont="1" applyAlignment="1">
      <alignment horizontal="center" vertical="center"/>
    </xf>
    <xf numFmtId="9" fontId="4" fillId="0" borderId="0" xfId="1" applyNumberFormat="1" applyFont="1" applyAlignment="1">
      <alignment horizontal="center" vertical="center"/>
    </xf>
    <xf numFmtId="9" fontId="0" fillId="0" borderId="0" xfId="2" applyFont="1"/>
    <xf numFmtId="0" fontId="4" fillId="0" borderId="2" xfId="1" applyFont="1" applyBorder="1" applyAlignment="1">
      <alignment horizontal="center" vertical="center" wrapText="1"/>
    </xf>
    <xf numFmtId="0" fontId="1" fillId="0" borderId="0" xfId="1" applyAlignment="1">
      <alignment vertical="center"/>
    </xf>
    <xf numFmtId="0" fontId="7" fillId="0" borderId="7" xfId="1" applyFont="1" applyBorder="1" applyAlignment="1">
      <alignment horizontal="center" vertical="center"/>
    </xf>
    <xf numFmtId="0" fontId="7" fillId="0" borderId="7" xfId="1" applyFont="1" applyBorder="1" applyAlignment="1">
      <alignment horizontal="center" vertical="center" wrapText="1"/>
    </xf>
    <xf numFmtId="3" fontId="7" fillId="0" borderId="7" xfId="1" applyNumberFormat="1" applyFont="1" applyBorder="1" applyAlignment="1">
      <alignment horizontal="center" vertical="center"/>
    </xf>
    <xf numFmtId="3" fontId="7" fillId="0" borderId="7" xfId="1" applyNumberFormat="1" applyFont="1" applyBorder="1" applyAlignment="1">
      <alignment horizontal="center"/>
    </xf>
    <xf numFmtId="4" fontId="7" fillId="0" borderId="7" xfId="1" applyNumberFormat="1" applyFont="1" applyBorder="1" applyAlignment="1">
      <alignment horizontal="center"/>
    </xf>
    <xf numFmtId="0" fontId="7" fillId="0" borderId="7" xfId="1" quotePrefix="1" applyFont="1" applyBorder="1" applyAlignment="1">
      <alignment horizontal="center"/>
    </xf>
    <xf numFmtId="2" fontId="7" fillId="0" borderId="7" xfId="1" applyNumberFormat="1" applyFont="1" applyBorder="1" applyAlignment="1">
      <alignment horizontal="right" wrapText="1"/>
    </xf>
    <xf numFmtId="0" fontId="7" fillId="0" borderId="7" xfId="1" applyFont="1" applyBorder="1" applyAlignment="1">
      <alignment horizontal="center"/>
    </xf>
    <xf numFmtId="3" fontId="7" fillId="0" borderId="7" xfId="1" quotePrefix="1" applyNumberFormat="1" applyFont="1" applyBorder="1" applyAlignment="1">
      <alignment horizontal="center"/>
    </xf>
    <xf numFmtId="0" fontId="6" fillId="0" borderId="8" xfId="1" applyFont="1" applyBorder="1" applyAlignment="1">
      <alignment horizontal="center"/>
    </xf>
    <xf numFmtId="0" fontId="1" fillId="0" borderId="8" xfId="1" applyBorder="1" applyAlignment="1">
      <alignment horizontal="center"/>
    </xf>
    <xf numFmtId="4" fontId="1" fillId="0" borderId="8" xfId="1" applyNumberFormat="1" applyBorder="1" applyAlignment="1">
      <alignment horizontal="center"/>
    </xf>
    <xf numFmtId="16" fontId="6" fillId="0" borderId="8" xfId="1" applyNumberFormat="1" applyFont="1" applyBorder="1" applyAlignment="1">
      <alignment horizontal="center"/>
    </xf>
    <xf numFmtId="0" fontId="7" fillId="0" borderId="0" xfId="1" applyFont="1"/>
    <xf numFmtId="0" fontId="8" fillId="4" borderId="0" xfId="1" applyFont="1" applyFill="1"/>
    <xf numFmtId="0" fontId="7" fillId="4" borderId="0" xfId="1" applyFont="1" applyFill="1"/>
    <xf numFmtId="0" fontId="7" fillId="5" borderId="0" xfId="1" applyFont="1" applyFill="1"/>
    <xf numFmtId="0" fontId="7" fillId="0" borderId="9" xfId="1" applyFont="1" applyBorder="1" applyAlignment="1">
      <alignment horizontal="center"/>
    </xf>
    <xf numFmtId="0" fontId="9" fillId="0" borderId="7" xfId="1" applyFont="1" applyBorder="1" applyAlignment="1">
      <alignment horizontal="center" vertical="center"/>
    </xf>
    <xf numFmtId="165" fontId="7" fillId="0" borderId="0" xfId="1" applyNumberFormat="1" applyFont="1"/>
    <xf numFmtId="166" fontId="7" fillId="0" borderId="7" xfId="1" applyNumberFormat="1" applyFont="1" applyBorder="1" applyAlignment="1">
      <alignment horizontal="center" vertical="center"/>
    </xf>
    <xf numFmtId="166" fontId="7" fillId="0" borderId="9" xfId="1" applyNumberFormat="1" applyFont="1" applyBorder="1" applyAlignment="1">
      <alignment horizontal="center" vertical="center"/>
    </xf>
    <xf numFmtId="167" fontId="7" fillId="0" borderId="7" xfId="1" applyNumberFormat="1" applyFont="1" applyBorder="1" applyAlignment="1">
      <alignment horizontal="center" vertical="center"/>
    </xf>
    <xf numFmtId="168" fontId="7" fillId="0" borderId="7" xfId="1" applyNumberFormat="1" applyFont="1" applyBorder="1" applyAlignment="1">
      <alignment horizontal="center" vertical="center"/>
    </xf>
    <xf numFmtId="1" fontId="7" fillId="0" borderId="0" xfId="1" applyNumberFormat="1" applyFont="1"/>
    <xf numFmtId="167" fontId="7" fillId="0" borderId="9" xfId="1" applyNumberFormat="1" applyFont="1" applyBorder="1" applyAlignment="1">
      <alignment horizontal="center" vertical="center"/>
    </xf>
    <xf numFmtId="166" fontId="7" fillId="0" borderId="10" xfId="1" applyNumberFormat="1" applyFont="1" applyBorder="1" applyAlignment="1">
      <alignment horizontal="center" vertical="center"/>
    </xf>
    <xf numFmtId="165" fontId="7" fillId="6" borderId="0" xfId="1" applyNumberFormat="1" applyFont="1" applyFill="1"/>
    <xf numFmtId="165" fontId="7" fillId="7" borderId="0" xfId="1" applyNumberFormat="1" applyFont="1" applyFill="1"/>
    <xf numFmtId="167" fontId="7" fillId="0" borderId="0" xfId="1" applyNumberFormat="1" applyFont="1"/>
    <xf numFmtId="164" fontId="7" fillId="0" borderId="0" xfId="1" applyNumberFormat="1" applyFont="1"/>
    <xf numFmtId="1" fontId="6" fillId="0" borderId="0" xfId="1" applyNumberFormat="1" applyFont="1"/>
    <xf numFmtId="11" fontId="7" fillId="0" borderId="0" xfId="1" applyNumberFormat="1" applyFont="1"/>
    <xf numFmtId="11" fontId="6" fillId="0" borderId="0" xfId="1" applyNumberFormat="1" applyFont="1"/>
    <xf numFmtId="2" fontId="7" fillId="8" borderId="7" xfId="1" applyNumberFormat="1" applyFont="1" applyFill="1" applyBorder="1" applyAlignment="1">
      <alignment horizontal="right" wrapText="1"/>
    </xf>
    <xf numFmtId="167" fontId="1" fillId="0" borderId="0" xfId="1" applyNumberFormat="1"/>
    <xf numFmtId="1" fontId="0" fillId="0" borderId="0" xfId="0" applyNumberFormat="1"/>
    <xf numFmtId="2" fontId="0" fillId="0" borderId="0" xfId="0" applyNumberFormat="1"/>
    <xf numFmtId="166" fontId="0" fillId="0" borderId="0" xfId="0" applyNumberFormat="1"/>
    <xf numFmtId="0" fontId="0" fillId="9" borderId="0" xfId="0" applyFill="1"/>
    <xf numFmtId="168" fontId="7" fillId="9" borderId="7" xfId="1" applyNumberFormat="1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0" fillId="10" borderId="0" xfId="0" applyFill="1"/>
    <xf numFmtId="164" fontId="0" fillId="0" borderId="0" xfId="3" applyNumberFormat="1" applyFont="1"/>
    <xf numFmtId="164" fontId="0" fillId="9" borderId="0" xfId="3" applyNumberFormat="1" applyFont="1" applyFill="1"/>
    <xf numFmtId="0" fontId="13" fillId="0" borderId="0" xfId="0" applyFont="1"/>
    <xf numFmtId="164" fontId="0" fillId="0" borderId="0" xfId="0" applyNumberFormat="1"/>
    <xf numFmtId="166" fontId="0" fillId="9" borderId="0" xfId="0" applyNumberFormat="1" applyFill="1"/>
    <xf numFmtId="0" fontId="1" fillId="10" borderId="0" xfId="1" applyFill="1"/>
    <xf numFmtId="0" fontId="14" fillId="10" borderId="0" xfId="1" applyFont="1" applyFill="1"/>
    <xf numFmtId="0" fontId="6" fillId="0" borderId="0" xfId="5"/>
    <xf numFmtId="0" fontId="1" fillId="0" borderId="0" xfId="5" applyFont="1"/>
    <xf numFmtId="0" fontId="15" fillId="0" borderId="7" xfId="5" applyFont="1" applyBorder="1" applyAlignment="1">
      <alignment horizontal="center"/>
    </xf>
    <xf numFmtId="0" fontId="9" fillId="0" borderId="7" xfId="5" applyFont="1" applyBorder="1" applyAlignment="1">
      <alignment horizontal="center" vertical="center"/>
    </xf>
    <xf numFmtId="0" fontId="15" fillId="0" borderId="7" xfId="5" applyFont="1" applyBorder="1" applyAlignment="1">
      <alignment horizontal="center" vertical="center"/>
    </xf>
    <xf numFmtId="169" fontId="0" fillId="0" borderId="0" xfId="6" applyNumberFormat="1" applyFont="1"/>
    <xf numFmtId="166" fontId="15" fillId="0" borderId="7" xfId="5" applyNumberFormat="1" applyFont="1" applyBorder="1" applyAlignment="1">
      <alignment horizontal="center" vertical="center"/>
    </xf>
    <xf numFmtId="168" fontId="15" fillId="0" borderId="7" xfId="5" applyNumberFormat="1" applyFont="1" applyBorder="1" applyAlignment="1">
      <alignment horizontal="center" vertical="center"/>
    </xf>
    <xf numFmtId="1" fontId="6" fillId="0" borderId="0" xfId="5" applyNumberFormat="1"/>
    <xf numFmtId="167" fontId="16" fillId="0" borderId="7" xfId="0" applyNumberFormat="1" applyFont="1" applyBorder="1" applyAlignment="1">
      <alignment horizontal="center" vertical="center"/>
    </xf>
    <xf numFmtId="167" fontId="16" fillId="0" borderId="11" xfId="0" applyNumberFormat="1" applyFont="1" applyBorder="1" applyAlignment="1">
      <alignment horizontal="center" vertical="center"/>
    </xf>
    <xf numFmtId="2" fontId="6" fillId="0" borderId="0" xfId="5" applyNumberFormat="1"/>
    <xf numFmtId="11" fontId="6" fillId="0" borderId="0" xfId="5" applyNumberFormat="1"/>
    <xf numFmtId="2" fontId="7" fillId="0" borderId="7" xfId="1" applyNumberFormat="1" applyFont="1" applyBorder="1" applyAlignment="1">
      <alignment horizontal="center" vertical="center"/>
    </xf>
    <xf numFmtId="2" fontId="15" fillId="0" borderId="7" xfId="5" applyNumberFormat="1" applyFont="1" applyBorder="1" applyAlignment="1">
      <alignment horizontal="center" vertical="center"/>
    </xf>
    <xf numFmtId="9" fontId="1" fillId="0" borderId="0" xfId="3" applyFont="1"/>
    <xf numFmtId="0" fontId="9" fillId="0" borderId="8" xfId="1" applyFont="1" applyBorder="1" applyAlignment="1">
      <alignment horizontal="center" vertical="center"/>
    </xf>
    <xf numFmtId="167" fontId="7" fillId="0" borderId="8" xfId="1" applyNumberFormat="1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1" fontId="7" fillId="0" borderId="8" xfId="1" applyNumberFormat="1" applyFont="1" applyBorder="1" applyAlignment="1">
      <alignment horizontal="center"/>
    </xf>
    <xf numFmtId="166" fontId="7" fillId="0" borderId="8" xfId="1" applyNumberFormat="1" applyFont="1" applyBorder="1" applyAlignment="1">
      <alignment horizontal="center"/>
    </xf>
    <xf numFmtId="164" fontId="1" fillId="0" borderId="0" xfId="3" applyNumberFormat="1" applyFont="1"/>
    <xf numFmtId="167" fontId="7" fillId="9" borderId="8" xfId="1" applyNumberFormat="1" applyFont="1" applyFill="1" applyBorder="1" applyAlignment="1">
      <alignment horizontal="center"/>
    </xf>
    <xf numFmtId="164" fontId="1" fillId="0" borderId="0" xfId="3" applyNumberFormat="1" applyFont="1" applyAlignment="1">
      <alignment horizontal="center"/>
    </xf>
    <xf numFmtId="164" fontId="1" fillId="0" borderId="8" xfId="3" applyNumberFormat="1" applyFont="1" applyBorder="1" applyAlignment="1">
      <alignment horizontal="center"/>
    </xf>
    <xf numFmtId="164" fontId="7" fillId="0" borderId="7" xfId="3" applyNumberFormat="1" applyFont="1" applyBorder="1" applyAlignment="1">
      <alignment horizontal="center" vertical="center"/>
    </xf>
    <xf numFmtId="0" fontId="6" fillId="0" borderId="0" xfId="5" applyAlignment="1">
      <alignment horizontal="center"/>
    </xf>
    <xf numFmtId="168" fontId="6" fillId="0" borderId="0" xfId="5" applyNumberFormat="1"/>
    <xf numFmtId="2" fontId="6" fillId="0" borderId="0" xfId="5" applyNumberFormat="1" applyAlignment="1">
      <alignment horizontal="center"/>
    </xf>
    <xf numFmtId="168" fontId="6" fillId="0" borderId="0" xfId="5" applyNumberFormat="1" applyAlignment="1">
      <alignment horizontal="center"/>
    </xf>
    <xf numFmtId="0" fontId="6" fillId="10" borderId="0" xfId="1" applyFont="1" applyFill="1"/>
    <xf numFmtId="11" fontId="7" fillId="10" borderId="0" xfId="1" applyNumberFormat="1" applyFont="1" applyFill="1"/>
    <xf numFmtId="0" fontId="6" fillId="0" borderId="0" xfId="1" applyFont="1" applyAlignment="1">
      <alignment horizontal="center"/>
    </xf>
    <xf numFmtId="1" fontId="6" fillId="0" borderId="0" xfId="1" applyNumberFormat="1" applyFont="1" applyAlignment="1">
      <alignment horizontal="center"/>
    </xf>
    <xf numFmtId="2" fontId="7" fillId="2" borderId="7" xfId="1" applyNumberFormat="1" applyFont="1" applyFill="1" applyBorder="1" applyAlignment="1">
      <alignment horizontal="right" wrapText="1"/>
    </xf>
    <xf numFmtId="0" fontId="12" fillId="0" borderId="0" xfId="4"/>
    <xf numFmtId="164" fontId="7" fillId="0" borderId="0" xfId="3" applyNumberFormat="1" applyFont="1"/>
    <xf numFmtId="164" fontId="1" fillId="0" borderId="0" xfId="1" applyNumberFormat="1"/>
    <xf numFmtId="0" fontId="7" fillId="10" borderId="0" xfId="1" applyFont="1" applyFill="1"/>
    <xf numFmtId="0" fontId="8" fillId="10" borderId="0" xfId="1" applyFont="1" applyFill="1"/>
    <xf numFmtId="1" fontId="1" fillId="0" borderId="0" xfId="1" applyNumberFormat="1" applyAlignment="1">
      <alignment horizontal="center"/>
    </xf>
    <xf numFmtId="9" fontId="1" fillId="0" borderId="0" xfId="3" applyFont="1" applyAlignment="1">
      <alignment horizontal="center"/>
    </xf>
    <xf numFmtId="164" fontId="1" fillId="11" borderId="0" xfId="3" applyNumberFormat="1" applyFont="1" applyFill="1"/>
    <xf numFmtId="0" fontId="17" fillId="0" borderId="0" xfId="0" applyFont="1"/>
    <xf numFmtId="0" fontId="11" fillId="0" borderId="0" xfId="0" applyFont="1"/>
    <xf numFmtId="10" fontId="0" fillId="0" borderId="0" xfId="0" applyNumberFormat="1"/>
    <xf numFmtId="9" fontId="11" fillId="0" borderId="0" xfId="0" applyNumberFormat="1" applyFont="1"/>
    <xf numFmtId="164" fontId="7" fillId="0" borderId="0" xfId="3" applyNumberFormat="1" applyFont="1" applyBorder="1" applyAlignment="1">
      <alignment horizontal="center" vertical="center"/>
    </xf>
    <xf numFmtId="0" fontId="1" fillId="12" borderId="0" xfId="1" applyFill="1" applyAlignment="1">
      <alignment horizontal="center"/>
    </xf>
    <xf numFmtId="164" fontId="7" fillId="12" borderId="7" xfId="3" applyNumberFormat="1" applyFont="1" applyFill="1" applyBorder="1" applyAlignment="1">
      <alignment horizontal="center" vertical="center"/>
    </xf>
    <xf numFmtId="164" fontId="1" fillId="12" borderId="0" xfId="3" applyNumberFormat="1" applyFont="1" applyFill="1" applyAlignment="1">
      <alignment horizontal="center"/>
    </xf>
    <xf numFmtId="4" fontId="7" fillId="12" borderId="7" xfId="1" applyNumberFormat="1" applyFont="1" applyFill="1" applyBorder="1" applyAlignment="1">
      <alignment horizontal="center"/>
    </xf>
    <xf numFmtId="3" fontId="7" fillId="12" borderId="7" xfId="1" quotePrefix="1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12" borderId="0" xfId="0" applyFill="1"/>
    <xf numFmtId="168" fontId="0" fillId="0" borderId="0" xfId="0" applyNumberFormat="1"/>
    <xf numFmtId="10" fontId="0" fillId="11" borderId="0" xfId="0" applyNumberFormat="1" applyFill="1"/>
    <xf numFmtId="1" fontId="1" fillId="12" borderId="0" xfId="1" applyNumberFormat="1" applyFill="1" applyAlignment="1">
      <alignment horizontal="center"/>
    </xf>
    <xf numFmtId="164" fontId="1" fillId="0" borderId="8" xfId="1" applyNumberFormat="1" applyBorder="1" applyAlignment="1">
      <alignment horizontal="center"/>
    </xf>
    <xf numFmtId="10" fontId="1" fillId="0" borderId="8" xfId="1" applyNumberFormat="1" applyBorder="1" applyAlignment="1">
      <alignment horizontal="center"/>
    </xf>
    <xf numFmtId="0" fontId="1" fillId="0" borderId="12" xfId="1" applyBorder="1"/>
    <xf numFmtId="9" fontId="4" fillId="0" borderId="12" xfId="1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1" fillId="0" borderId="0" xfId="0" applyFont="1" applyAlignment="1">
      <alignment wrapText="1"/>
    </xf>
    <xf numFmtId="0" fontId="11" fillId="0" borderId="0" xfId="0" applyFont="1" applyAlignment="1">
      <alignment vertical="center" wrapText="1"/>
    </xf>
    <xf numFmtId="0" fontId="0" fillId="13" borderId="0" xfId="0" applyFill="1" applyAlignment="1">
      <alignment horizontal="center" vertical="center"/>
    </xf>
    <xf numFmtId="0" fontId="0" fillId="13" borderId="0" xfId="0" applyFill="1" applyAlignment="1">
      <alignment horizontal="center" vertical="center" wrapText="1"/>
    </xf>
    <xf numFmtId="0" fontId="0" fillId="13" borderId="0" xfId="0" applyFill="1" applyAlignment="1">
      <alignment horizontal="center"/>
    </xf>
    <xf numFmtId="0" fontId="0" fillId="13" borderId="0" xfId="0" applyFill="1" applyAlignment="1">
      <alignment horizontal="center" wrapText="1"/>
    </xf>
    <xf numFmtId="0" fontId="11" fillId="13" borderId="0" xfId="0" applyFont="1" applyFill="1" applyAlignment="1">
      <alignment horizontal="center" vertical="center" wrapText="1"/>
    </xf>
    <xf numFmtId="0" fontId="21" fillId="0" borderId="0" xfId="0" applyFont="1" applyAlignment="1">
      <alignment vertical="center" wrapText="1"/>
    </xf>
    <xf numFmtId="2" fontId="1" fillId="0" borderId="0" xfId="1" applyNumberFormat="1"/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 wrapText="1"/>
    </xf>
    <xf numFmtId="0" fontId="23" fillId="0" borderId="0" xfId="0" applyFont="1" applyAlignment="1">
      <alignment horizontal="center"/>
    </xf>
    <xf numFmtId="0" fontId="21" fillId="0" borderId="0" xfId="0" applyFont="1" applyAlignment="1">
      <alignment horizontal="center" wrapText="1"/>
    </xf>
    <xf numFmtId="0" fontId="23" fillId="0" borderId="0" xfId="0" applyFont="1" applyAlignment="1">
      <alignment horizontal="center" wrapText="1"/>
    </xf>
    <xf numFmtId="0" fontId="1" fillId="0" borderId="12" xfId="1" applyBorder="1" applyAlignment="1">
      <alignment horizontal="center"/>
    </xf>
    <xf numFmtId="164" fontId="1" fillId="0" borderId="12" xfId="1" applyNumberFormat="1" applyBorder="1" applyAlignment="1">
      <alignment horizontal="center"/>
    </xf>
    <xf numFmtId="1" fontId="1" fillId="0" borderId="12" xfId="1" applyNumberFormat="1" applyBorder="1"/>
    <xf numFmtId="11" fontId="0" fillId="0" borderId="0" xfId="0" applyNumberFormat="1"/>
    <xf numFmtId="10" fontId="1" fillId="0" borderId="0" xfId="3" applyNumberFormat="1" applyFont="1"/>
    <xf numFmtId="0" fontId="11" fillId="13" borderId="0" xfId="0" applyFont="1" applyFill="1" applyAlignment="1">
      <alignment wrapText="1"/>
    </xf>
    <xf numFmtId="0" fontId="0" fillId="13" borderId="0" xfId="0" applyFill="1" applyAlignment="1">
      <alignment wrapText="1"/>
    </xf>
    <xf numFmtId="0" fontId="11" fillId="14" borderId="0" xfId="0" applyFont="1" applyFill="1" applyAlignment="1">
      <alignment wrapText="1"/>
    </xf>
    <xf numFmtId="0" fontId="0" fillId="14" borderId="0" xfId="0" applyFill="1" applyAlignment="1">
      <alignment wrapText="1"/>
    </xf>
    <xf numFmtId="0" fontId="11" fillId="15" borderId="0" xfId="0" applyFont="1" applyFill="1" applyAlignment="1">
      <alignment wrapText="1"/>
    </xf>
    <xf numFmtId="0" fontId="0" fillId="15" borderId="0" xfId="0" applyFill="1" applyAlignment="1">
      <alignment wrapText="1"/>
    </xf>
    <xf numFmtId="0" fontId="24" fillId="15" borderId="0" xfId="0" applyFont="1" applyFill="1" applyAlignment="1">
      <alignment wrapText="1"/>
    </xf>
    <xf numFmtId="0" fontId="11" fillId="16" borderId="0" xfId="0" applyFont="1" applyFill="1" applyAlignment="1">
      <alignment wrapText="1"/>
    </xf>
    <xf numFmtId="0" fontId="0" fillId="16" borderId="0" xfId="0" applyFill="1" applyAlignment="1">
      <alignment wrapText="1"/>
    </xf>
    <xf numFmtId="0" fontId="24" fillId="16" borderId="0" xfId="0" applyFont="1" applyFill="1" applyAlignment="1">
      <alignment wrapText="1"/>
    </xf>
    <xf numFmtId="0" fontId="25" fillId="0" borderId="0" xfId="0" applyFont="1"/>
    <xf numFmtId="0" fontId="15" fillId="0" borderId="0" xfId="1" applyFont="1" applyAlignment="1">
      <alignment horizontal="center"/>
    </xf>
    <xf numFmtId="0" fontId="15" fillId="0" borderId="7" xfId="1" applyFont="1" applyBorder="1" applyAlignment="1">
      <alignment horizontal="center" vertical="center"/>
    </xf>
    <xf numFmtId="165" fontId="15" fillId="0" borderId="7" xfId="1" applyNumberFormat="1" applyFont="1" applyBorder="1" applyAlignment="1">
      <alignment horizontal="center" vertical="center"/>
    </xf>
    <xf numFmtId="165" fontId="15" fillId="0" borderId="7" xfId="1" applyNumberFormat="1" applyFont="1" applyBorder="1"/>
    <xf numFmtId="9" fontId="15" fillId="0" borderId="7" xfId="1" applyNumberFormat="1" applyFont="1" applyBorder="1" applyAlignment="1">
      <alignment horizontal="center" vertical="center"/>
    </xf>
    <xf numFmtId="0" fontId="15" fillId="0" borderId="7" xfId="1" applyFont="1" applyBorder="1"/>
    <xf numFmtId="0" fontId="7" fillId="0" borderId="4" xfId="1" applyFont="1" applyBorder="1" applyAlignment="1">
      <alignment horizontal="center"/>
    </xf>
    <xf numFmtId="0" fontId="5" fillId="0" borderId="5" xfId="1" applyFont="1" applyBorder="1"/>
    <xf numFmtId="0" fontId="5" fillId="0" borderId="6" xfId="1" applyFont="1" applyBorder="1"/>
    <xf numFmtId="0" fontId="7" fillId="12" borderId="4" xfId="1" applyFont="1" applyFill="1" applyBorder="1" applyAlignment="1">
      <alignment horizontal="center"/>
    </xf>
    <xf numFmtId="0" fontId="5" fillId="12" borderId="5" xfId="1" applyFont="1" applyFill="1" applyBorder="1"/>
    <xf numFmtId="0" fontId="5" fillId="12" borderId="6" xfId="1" applyFont="1" applyFill="1" applyBorder="1"/>
    <xf numFmtId="0" fontId="6" fillId="0" borderId="0" xfId="5" applyAlignment="1">
      <alignment horizontal="center"/>
    </xf>
    <xf numFmtId="0" fontId="0" fillId="0" borderId="0" xfId="0" applyAlignment="1">
      <alignment horizontal="center"/>
    </xf>
    <xf numFmtId="0" fontId="1" fillId="0" borderId="8" xfId="1" applyBorder="1" applyAlignment="1">
      <alignment horizontal="center"/>
    </xf>
    <xf numFmtId="0" fontId="4" fillId="0" borderId="1" xfId="1" applyFont="1" applyBorder="1" applyAlignment="1">
      <alignment horizontal="center"/>
    </xf>
  </cellXfs>
  <cellStyles count="7">
    <cellStyle name="Hiperlink" xfId="4" builtinId="8"/>
    <cellStyle name="Normal" xfId="0" builtinId="0"/>
    <cellStyle name="Normal 2" xfId="1" xr:uid="{A256233C-474C-374E-BFB9-5963BC6D7254}"/>
    <cellStyle name="Normal 3" xfId="5" xr:uid="{BE931A6F-2D41-5747-A17C-1DE1405318E8}"/>
    <cellStyle name="Porcentagem" xfId="3" builtinId="5"/>
    <cellStyle name="Porcentagem 2" xfId="2" xr:uid="{7BA1FE92-034D-054F-B65B-6890D5C9CE12}"/>
    <cellStyle name="Vírgula 2" xfId="6" xr:uid="{A043BFAF-EE77-7649-84AE-FEBC6056791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pt-BR" sz="1400" b="0" i="0">
                <a:solidFill>
                  <a:srgbClr val="757575"/>
                </a:solidFill>
                <a:latin typeface="+mn-lt"/>
              </a:rPr>
              <a:t>Proporção das Funcionárias Públicas nos setores, Brasil 2000 e 2010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2000</c:v>
          </c:tx>
          <c:spPr>
            <a:solidFill>
              <a:srgbClr val="156082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'distribuiçao nas atividades'!$K$23:$O$23</c:f>
              <c:strCache>
                <c:ptCount val="4"/>
                <c:pt idx="0">
                  <c:v>adm_e_gestao_publica</c:v>
                </c:pt>
                <c:pt idx="1">
                  <c:v>educacao</c:v>
                </c:pt>
                <c:pt idx="2">
                  <c:v>outras</c:v>
                </c:pt>
                <c:pt idx="3">
                  <c:v>saude</c:v>
                </c:pt>
              </c:strCache>
            </c:strRef>
          </c:cat>
          <c:val>
            <c:numRef>
              <c:f>'distribuiçao nas atividades'!$C$24:$F$24</c:f>
              <c:numCache>
                <c:formatCode>0%</c:formatCode>
                <c:ptCount val="4"/>
                <c:pt idx="0">
                  <c:v>0.30486717446523542</c:v>
                </c:pt>
                <c:pt idx="1">
                  <c:v>0.53667324803499994</c:v>
                </c:pt>
                <c:pt idx="2">
                  <c:v>6.5552817234613009E-2</c:v>
                </c:pt>
                <c:pt idx="3">
                  <c:v>9.2906760265151531E-2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BAF-4B4A-936E-F122DCD68176}"/>
            </c:ext>
          </c:extLst>
        </c:ser>
        <c:ser>
          <c:idx val="1"/>
          <c:order val="1"/>
          <c:tx>
            <c:v>2010</c:v>
          </c:tx>
          <c:spPr>
            <a:solidFill>
              <a:srgbClr val="E97132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'distribuiçao nas atividades'!$K$23:$O$23</c:f>
              <c:strCache>
                <c:ptCount val="4"/>
                <c:pt idx="0">
                  <c:v>adm_e_gestao_publica</c:v>
                </c:pt>
                <c:pt idx="1">
                  <c:v>educacao</c:v>
                </c:pt>
                <c:pt idx="2">
                  <c:v>outras</c:v>
                </c:pt>
                <c:pt idx="3">
                  <c:v>saude</c:v>
                </c:pt>
              </c:strCache>
            </c:strRef>
          </c:cat>
          <c:val>
            <c:numRef>
              <c:f>'distribuiçao nas atividades'!$K$24:$N$24</c:f>
              <c:numCache>
                <c:formatCode>0%</c:formatCode>
                <c:ptCount val="4"/>
                <c:pt idx="0">
                  <c:v>0.37226471915313003</c:v>
                </c:pt>
                <c:pt idx="1">
                  <c:v>0.4614697366930402</c:v>
                </c:pt>
                <c:pt idx="2">
                  <c:v>3.3355342305016654E-2</c:v>
                </c:pt>
                <c:pt idx="3">
                  <c:v>0.13291020184881303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7BAF-4B4A-936E-F122DCD681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3341514"/>
        <c:axId val="1020972416"/>
      </c:barChart>
      <c:catAx>
        <c:axId val="5433415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rot="0"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020972416"/>
        <c:crosses val="autoZero"/>
        <c:auto val="1"/>
        <c:lblAlgn val="ctr"/>
        <c:lblOffset val="100"/>
        <c:noMultiLvlLbl val="1"/>
      </c:catAx>
      <c:valAx>
        <c:axId val="102097241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543341514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2000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TFT_area_atuacao!$F$7:$F$13</c:f>
              <c:numCache>
                <c:formatCode>0.000</c:formatCode>
                <c:ptCount val="7"/>
                <c:pt idx="0">
                  <c:v>3.5783156911853194E-2</c:v>
                </c:pt>
                <c:pt idx="1">
                  <c:v>7.4770436234865192E-2</c:v>
                </c:pt>
                <c:pt idx="2">
                  <c:v>8.100049993291121E-2</c:v>
                </c:pt>
                <c:pt idx="3">
                  <c:v>6.5098009975861043E-2</c:v>
                </c:pt>
                <c:pt idx="4">
                  <c:v>3.3290436613181082E-2</c:v>
                </c:pt>
                <c:pt idx="5">
                  <c:v>1.014656949791987E-2</c:v>
                </c:pt>
                <c:pt idx="6">
                  <c:v>1.2567816804422991E-3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98-5543-AD7F-12CED68A361A}"/>
            </c:ext>
          </c:extLst>
        </c:ser>
        <c:ser>
          <c:idx val="1"/>
          <c:order val="1"/>
          <c:tx>
            <c:v>2010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TFT_area_atuacao!$O$7:$O$13</c:f>
              <c:numCache>
                <c:formatCode>0.000</c:formatCode>
                <c:ptCount val="7"/>
                <c:pt idx="0">
                  <c:v>2.2421436175804315E-2</c:v>
                </c:pt>
                <c:pt idx="1">
                  <c:v>4.6516627356633186E-2</c:v>
                </c:pt>
                <c:pt idx="2">
                  <c:v>6.5636754563253227E-2</c:v>
                </c:pt>
                <c:pt idx="3">
                  <c:v>6.9222058208452453E-2</c:v>
                </c:pt>
                <c:pt idx="4">
                  <c:v>4.2995334108174577E-2</c:v>
                </c:pt>
                <c:pt idx="5">
                  <c:v>1.1572932654820782E-2</c:v>
                </c:pt>
                <c:pt idx="6">
                  <c:v>1.2992321095354898E-3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298-5543-AD7F-12CED68A36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0392176"/>
        <c:axId val="510305984"/>
      </c:lineChart>
      <c:catAx>
        <c:axId val="5103921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10305984"/>
        <c:crosses val="autoZero"/>
        <c:auto val="1"/>
        <c:lblAlgn val="ctr"/>
        <c:lblOffset val="100"/>
        <c:noMultiLvlLbl val="0"/>
      </c:catAx>
      <c:valAx>
        <c:axId val="510305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10392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TFT_area_atuacao!$F$20:$F$26</c:f>
              <c:numCache>
                <c:formatCode>0.000</c:formatCode>
                <c:ptCount val="7"/>
                <c:pt idx="0">
                  <c:v>3.0271943889596836E-2</c:v>
                </c:pt>
                <c:pt idx="1">
                  <c:v>7.5257338225256071E-2</c:v>
                </c:pt>
                <c:pt idx="2">
                  <c:v>7.3084985962880267E-2</c:v>
                </c:pt>
                <c:pt idx="3">
                  <c:v>6.1678702501378579E-2</c:v>
                </c:pt>
                <c:pt idx="4">
                  <c:v>3.3251212017905263E-2</c:v>
                </c:pt>
                <c:pt idx="5">
                  <c:v>1.1580325631232319E-2</c:v>
                </c:pt>
                <c:pt idx="6">
                  <c:v>1.0672651948435347E-3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65-8941-8930-7DCAFB4E5FC9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TFT_area_atuacao!$S$20:$S$26</c:f>
              <c:numCache>
                <c:formatCode>0.000</c:formatCode>
                <c:ptCount val="7"/>
                <c:pt idx="0">
                  <c:v>2.6350223240882476E-2</c:v>
                </c:pt>
                <c:pt idx="1">
                  <c:v>4.415605564277484E-2</c:v>
                </c:pt>
                <c:pt idx="2">
                  <c:v>6.1186460489293687E-2</c:v>
                </c:pt>
                <c:pt idx="3">
                  <c:v>6.7495304708080267E-2</c:v>
                </c:pt>
                <c:pt idx="4">
                  <c:v>4.4866089204827549E-2</c:v>
                </c:pt>
                <c:pt idx="5">
                  <c:v>1.1927149251955526E-2</c:v>
                </c:pt>
                <c:pt idx="6">
                  <c:v>1.6714171166176605E-3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65-8941-8930-7DCAFB4E5F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0392176"/>
        <c:axId val="510305984"/>
      </c:lineChart>
      <c:catAx>
        <c:axId val="5103921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10305984"/>
        <c:crosses val="autoZero"/>
        <c:auto val="1"/>
        <c:lblAlgn val="ctr"/>
        <c:lblOffset val="100"/>
        <c:noMultiLvlLbl val="0"/>
      </c:catAx>
      <c:valAx>
        <c:axId val="510305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10392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pt-BR" sz="1400" b="0" i="0">
                <a:solidFill>
                  <a:srgbClr val="757575"/>
                </a:solidFill>
                <a:latin typeface="+mn-lt"/>
              </a:rPr>
              <a:t>Proporção de mulheres de 15 a 49 anos ocupadas em 2000 e 2010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ocupadas</c:v>
          </c:tx>
          <c:spPr>
            <a:solidFill>
              <a:srgbClr val="156082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descritiva_total!$C$15:$D$15</c:f>
              <c:numCache>
                <c:formatCode>General</c:formatCode>
                <c:ptCount val="2"/>
                <c:pt idx="0">
                  <c:v>2000</c:v>
                </c:pt>
                <c:pt idx="1">
                  <c:v>2010</c:v>
                </c:pt>
              </c:numCache>
            </c:numRef>
          </c:cat>
          <c:val>
            <c:numRef>
              <c:f>descritiva_total!$C$16:$D$16</c:f>
              <c:numCache>
                <c:formatCode>0.0%</c:formatCode>
                <c:ptCount val="2"/>
                <c:pt idx="0">
                  <c:v>0.45410456036237173</c:v>
                </c:pt>
                <c:pt idx="1">
                  <c:v>0.55136660628845824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776-4F46-8733-C256A839D537}"/>
            </c:ext>
          </c:extLst>
        </c:ser>
        <c:ser>
          <c:idx val="1"/>
          <c:order val="1"/>
          <c:tx>
            <c:v>não ocupadas</c:v>
          </c:tx>
          <c:spPr>
            <a:solidFill>
              <a:srgbClr val="E97132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descritiva_total!$C$15:$D$15</c:f>
              <c:numCache>
                <c:formatCode>General</c:formatCode>
                <c:ptCount val="2"/>
                <c:pt idx="0">
                  <c:v>2000</c:v>
                </c:pt>
                <c:pt idx="1">
                  <c:v>2010</c:v>
                </c:pt>
              </c:numCache>
            </c:numRef>
          </c:cat>
          <c:val>
            <c:numRef>
              <c:f>descritiva_total!$C$17:$D$17</c:f>
              <c:numCache>
                <c:formatCode>0.0%</c:formatCode>
                <c:ptCount val="2"/>
                <c:pt idx="0">
                  <c:v>0.54589543963762832</c:v>
                </c:pt>
                <c:pt idx="1">
                  <c:v>0.44863339371154176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1776-4F46-8733-C256A839D5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930000"/>
        <c:axId val="1157724865"/>
      </c:barChart>
      <c:catAx>
        <c:axId val="399300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157724865"/>
        <c:crosses val="autoZero"/>
        <c:auto val="1"/>
        <c:lblAlgn val="ctr"/>
        <c:lblOffset val="100"/>
        <c:noMultiLvlLbl val="1"/>
      </c:catAx>
      <c:valAx>
        <c:axId val="11577248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0.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39930000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descritiva_total!$D$25</c:f>
              <c:strCache>
                <c:ptCount val="1"/>
                <c:pt idx="0">
                  <c:v>2000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descritiva_total!$D$26:$D$33</c:f>
              <c:numCache>
                <c:formatCode>0.0%</c:formatCode>
                <c:ptCount val="8"/>
                <c:pt idx="0">
                  <c:v>0.15250223113946992</c:v>
                </c:pt>
                <c:pt idx="1">
                  <c:v>1.3684611493251614E-2</c:v>
                </c:pt>
                <c:pt idx="2">
                  <c:v>0.48007269479143727</c:v>
                </c:pt>
                <c:pt idx="3">
                  <c:v>0.23837144062205323</c:v>
                </c:pt>
                <c:pt idx="4">
                  <c:v>6.5647582425103934E-2</c:v>
                </c:pt>
                <c:pt idx="5">
                  <c:v>9.3515266386011507E-4</c:v>
                </c:pt>
                <c:pt idx="6">
                  <c:v>2.9487251982086668E-2</c:v>
                </c:pt>
                <c:pt idx="7">
                  <c:v>1.9299034882737241E-2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3F-6E43-BDE8-041A5BF1B7BA}"/>
            </c:ext>
          </c:extLst>
        </c:ser>
        <c:ser>
          <c:idx val="1"/>
          <c:order val="1"/>
          <c:tx>
            <c:strRef>
              <c:f>descritiva_total!$I$25</c:f>
              <c:strCache>
                <c:ptCount val="1"/>
                <c:pt idx="0">
                  <c:v>2010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descritiva_total!$I$26:$I$33</c:f>
              <c:numCache>
                <c:formatCode>0.0%</c:formatCode>
                <c:ptCount val="8"/>
                <c:pt idx="0">
                  <c:v>0.14932137328581441</c:v>
                </c:pt>
                <c:pt idx="1">
                  <c:v>1.8532308931801057E-2</c:v>
                </c:pt>
                <c:pt idx="2">
                  <c:v>0.39784670477380635</c:v>
                </c:pt>
                <c:pt idx="3">
                  <c:v>0.29036818578673301</c:v>
                </c:pt>
                <c:pt idx="4">
                  <c:v>7.8293880795865439E-2</c:v>
                </c:pt>
                <c:pt idx="5">
                  <c:v>8.852930880521025E-4</c:v>
                </c:pt>
                <c:pt idx="6">
                  <c:v>1.8231582122099497E-2</c:v>
                </c:pt>
                <c:pt idx="7">
                  <c:v>4.6520671215828313E-2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3F-6E43-BDE8-041A5BF1B7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1734720"/>
        <c:axId val="281344464"/>
      </c:barChart>
      <c:catAx>
        <c:axId val="2817347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81344464"/>
        <c:crosses val="autoZero"/>
        <c:auto val="1"/>
        <c:lblAlgn val="ctr"/>
        <c:lblOffset val="100"/>
        <c:noMultiLvlLbl val="0"/>
      </c:catAx>
      <c:valAx>
        <c:axId val="28134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81734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childless!$B$49</c:f>
              <c:strCache>
                <c:ptCount val="1"/>
                <c:pt idx="0">
                  <c:v>2000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childless!$C$41:$G$41</c:f>
              <c:strCache>
                <c:ptCount val="5"/>
                <c:pt idx="0">
                  <c:v>administrcao</c:v>
                </c:pt>
                <c:pt idx="1">
                  <c:v>educacao</c:v>
                </c:pt>
                <c:pt idx="2">
                  <c:v>outras</c:v>
                </c:pt>
                <c:pt idx="3">
                  <c:v>saude</c:v>
                </c:pt>
                <c:pt idx="4">
                  <c:v>total</c:v>
                </c:pt>
              </c:strCache>
            </c:strRef>
          </c:cat>
          <c:val>
            <c:numRef>
              <c:f>childless!$C$50:$G$50</c:f>
              <c:numCache>
                <c:formatCode>0.0%</c:formatCode>
                <c:ptCount val="5"/>
                <c:pt idx="0">
                  <c:v>0.16192977915386378</c:v>
                </c:pt>
                <c:pt idx="1">
                  <c:v>0.14808325424868507</c:v>
                </c:pt>
                <c:pt idx="2">
                  <c:v>0.1444400353708756</c:v>
                </c:pt>
                <c:pt idx="3">
                  <c:v>0.14913282561026783</c:v>
                </c:pt>
                <c:pt idx="4">
                  <c:v>0.15214710217958624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3D-2A46-A902-DAA1F453A756}"/>
            </c:ext>
          </c:extLst>
        </c:ser>
        <c:ser>
          <c:idx val="1"/>
          <c:order val="1"/>
          <c:tx>
            <c:v>2010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childless!$C$41:$G$41</c:f>
              <c:strCache>
                <c:ptCount val="5"/>
                <c:pt idx="0">
                  <c:v>administrcao</c:v>
                </c:pt>
                <c:pt idx="1">
                  <c:v>educacao</c:v>
                </c:pt>
                <c:pt idx="2">
                  <c:v>outras</c:v>
                </c:pt>
                <c:pt idx="3">
                  <c:v>saude</c:v>
                </c:pt>
                <c:pt idx="4">
                  <c:v>total</c:v>
                </c:pt>
              </c:strCache>
            </c:strRef>
          </c:cat>
          <c:val>
            <c:numRef>
              <c:f>childless!$L$50:$P$50</c:f>
              <c:numCache>
                <c:formatCode>0.0%</c:formatCode>
                <c:ptCount val="5"/>
                <c:pt idx="0">
                  <c:v>0.16614403633680092</c:v>
                </c:pt>
                <c:pt idx="1">
                  <c:v>0.16508690751931329</c:v>
                </c:pt>
                <c:pt idx="2">
                  <c:v>0.19619194149320712</c:v>
                </c:pt>
                <c:pt idx="3">
                  <c:v>0.16160207182620828</c:v>
                </c:pt>
                <c:pt idx="4">
                  <c:v>0.16598492297815889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3D-2A46-A902-DAA1F453A75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25688735"/>
        <c:axId val="1225460287"/>
      </c:barChart>
      <c:catAx>
        <c:axId val="1225688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25460287"/>
        <c:crosses val="autoZero"/>
        <c:auto val="1"/>
        <c:lblAlgn val="ctr"/>
        <c:lblOffset val="100"/>
        <c:noMultiLvlLbl val="0"/>
      </c:catAx>
      <c:valAx>
        <c:axId val="1225460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25688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2000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ocupadas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childless!$B$99:$B$105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childless!$E$99:$E$105</c:f>
              <c:numCache>
                <c:formatCode>0%</c:formatCode>
                <c:ptCount val="7"/>
                <c:pt idx="0">
                  <c:v>0.88058276405100577</c:v>
                </c:pt>
                <c:pt idx="1">
                  <c:v>0.64830217618084574</c:v>
                </c:pt>
                <c:pt idx="2">
                  <c:v>0.41212119330264602</c:v>
                </c:pt>
                <c:pt idx="3">
                  <c:v>0.23471854645071841</c:v>
                </c:pt>
                <c:pt idx="4">
                  <c:v>0.15280756317855199</c:v>
                </c:pt>
                <c:pt idx="5">
                  <c:v>0.12013101025354028</c:v>
                </c:pt>
                <c:pt idx="6">
                  <c:v>0.11324381612220444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4B-AC48-967F-F3A145E94A7E}"/>
            </c:ext>
          </c:extLst>
        </c:ser>
        <c:ser>
          <c:idx val="1"/>
          <c:order val="1"/>
          <c:tx>
            <c:v>func publica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childless!$B$99:$B$105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childless!$E$4:$E$10</c:f>
              <c:numCache>
                <c:formatCode>0.0%</c:formatCode>
                <c:ptCount val="7"/>
                <c:pt idx="0">
                  <c:v>0.89953935661649287</c:v>
                </c:pt>
                <c:pt idx="1">
                  <c:v>0.67774456114063819</c:v>
                </c:pt>
                <c:pt idx="2">
                  <c:v>0.46361494427989847</c:v>
                </c:pt>
                <c:pt idx="3">
                  <c:v>0.27201402039722783</c:v>
                </c:pt>
                <c:pt idx="4">
                  <c:v>0.18666670360256682</c:v>
                </c:pt>
                <c:pt idx="5">
                  <c:v>0.15213403702396369</c:v>
                </c:pt>
                <c:pt idx="6">
                  <c:v>0.15216357167736477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4B-AC48-967F-F3A145E94A7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177215"/>
        <c:axId val="1177663327"/>
      </c:barChart>
      <c:catAx>
        <c:axId val="78177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77663327"/>
        <c:crosses val="autoZero"/>
        <c:auto val="1"/>
        <c:lblAlgn val="ctr"/>
        <c:lblOffset val="100"/>
        <c:noMultiLvlLbl val="0"/>
      </c:catAx>
      <c:valAx>
        <c:axId val="1177663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8177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2010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ocupadas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childless!$B$87:$B$93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childless!$L$99:$L$105</c:f>
              <c:numCache>
                <c:formatCode>0%</c:formatCode>
                <c:ptCount val="7"/>
                <c:pt idx="0">
                  <c:v>0.88520848051486001</c:v>
                </c:pt>
                <c:pt idx="1">
                  <c:v>0.67916614844083001</c:v>
                </c:pt>
                <c:pt idx="2">
                  <c:v>0.46735552424110116</c:v>
                </c:pt>
                <c:pt idx="3">
                  <c:v>0.27338299088731388</c:v>
                </c:pt>
                <c:pt idx="4">
                  <c:v>0.17248546305514886</c:v>
                </c:pt>
                <c:pt idx="5">
                  <c:v>0.13828803570334186</c:v>
                </c:pt>
                <c:pt idx="6">
                  <c:v>0.12632055446481646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7D-EA4D-B292-B6E731CA9729}"/>
            </c:ext>
          </c:extLst>
        </c:ser>
        <c:ser>
          <c:idx val="1"/>
          <c:order val="1"/>
          <c:tx>
            <c:v>func publica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childless!$B$87:$B$93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childless!$N$4:$N$10</c:f>
              <c:numCache>
                <c:formatCode>0.0%</c:formatCode>
                <c:ptCount val="7"/>
                <c:pt idx="0">
                  <c:v>0.9131623681862171</c:v>
                </c:pt>
                <c:pt idx="1">
                  <c:v>0.76237745382642652</c:v>
                </c:pt>
                <c:pt idx="2">
                  <c:v>0.56658209079552002</c:v>
                </c:pt>
                <c:pt idx="3">
                  <c:v>0.33765878265246657</c:v>
                </c:pt>
                <c:pt idx="4">
                  <c:v>0.21314790868355707</c:v>
                </c:pt>
                <c:pt idx="5">
                  <c:v>0.17400056523161753</c:v>
                </c:pt>
                <c:pt idx="6">
                  <c:v>0.15806969857528233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7D-EA4D-B292-B6E731CA972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177215"/>
        <c:axId val="1177663327"/>
      </c:barChart>
      <c:catAx>
        <c:axId val="78177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77663327"/>
        <c:crosses val="autoZero"/>
        <c:auto val="1"/>
        <c:lblAlgn val="ctr"/>
        <c:lblOffset val="100"/>
        <c:noMultiLvlLbl val="0"/>
      </c:catAx>
      <c:valAx>
        <c:axId val="1177663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8177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childless!$R$6</c:f>
              <c:strCache>
                <c:ptCount val="1"/>
                <c:pt idx="0">
                  <c:v>2000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childless!$S$5:$T$5</c:f>
              <c:strCache>
                <c:ptCount val="2"/>
                <c:pt idx="0">
                  <c:v>func pub</c:v>
                </c:pt>
                <c:pt idx="1">
                  <c:v>ocupadas</c:v>
                </c:pt>
              </c:strCache>
            </c:strRef>
          </c:cat>
          <c:val>
            <c:numRef>
              <c:f>childless!$S$6:$T$6</c:f>
              <c:numCache>
                <c:formatCode>0.00%</c:formatCode>
                <c:ptCount val="2"/>
                <c:pt idx="0" formatCode="0.0%">
                  <c:v>0.1521471149160343</c:v>
                </c:pt>
                <c:pt idx="1">
                  <c:v>0.11717420960700874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82-3647-A6FA-EB03A10CCCE2}"/>
            </c:ext>
          </c:extLst>
        </c:ser>
        <c:ser>
          <c:idx val="1"/>
          <c:order val="1"/>
          <c:tx>
            <c:strRef>
              <c:f>childless!$R$7</c:f>
              <c:strCache>
                <c:ptCount val="1"/>
                <c:pt idx="0">
                  <c:v>2010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childless!$S$5:$T$5</c:f>
              <c:strCache>
                <c:ptCount val="2"/>
                <c:pt idx="0">
                  <c:v>func pub</c:v>
                </c:pt>
                <c:pt idx="1">
                  <c:v>ocupadas</c:v>
                </c:pt>
              </c:strCache>
            </c:strRef>
          </c:cat>
          <c:val>
            <c:numRef>
              <c:f>childless!$S$7:$T$7</c:f>
              <c:numCache>
                <c:formatCode>0.00%</c:formatCode>
                <c:ptCount val="2"/>
                <c:pt idx="0" formatCode="0.0%">
                  <c:v>0.16598492268604667</c:v>
                </c:pt>
                <c:pt idx="1">
                  <c:v>0.13271172292966379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82-3647-A6FA-EB03A10CCC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7107071"/>
        <c:axId val="1280019359"/>
      </c:barChart>
      <c:catAx>
        <c:axId val="967107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80019359"/>
        <c:crosses val="autoZero"/>
        <c:auto val="1"/>
        <c:lblAlgn val="ctr"/>
        <c:lblOffset val="100"/>
        <c:noMultiLvlLbl val="0"/>
      </c:catAx>
      <c:valAx>
        <c:axId val="1280019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7107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TFT_ocupadas!$F$6:$F$12</c:f>
              <c:numCache>
                <c:formatCode>0.000</c:formatCode>
                <c:ptCount val="7"/>
                <c:pt idx="0">
                  <c:v>7.1100244975645349E-2</c:v>
                </c:pt>
                <c:pt idx="1">
                  <c:v>0.12421825081697692</c:v>
                </c:pt>
                <c:pt idx="2">
                  <c:v>0.1070314190199841</c:v>
                </c:pt>
                <c:pt idx="3">
                  <c:v>7.1473460117214796E-2</c:v>
                </c:pt>
                <c:pt idx="4">
                  <c:v>3.9452800717170375E-2</c:v>
                </c:pt>
                <c:pt idx="5">
                  <c:v>1.383336992320176E-2</c:v>
                </c:pt>
                <c:pt idx="6">
                  <c:v>2.673952401286078E-3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26-DA4D-881C-8C52D9158461}"/>
            </c:ext>
          </c:extLst>
        </c:ser>
        <c:ser>
          <c:idx val="1"/>
          <c:order val="1"/>
          <c:tx>
            <c:v>2010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TFT_ocupadas!$Q$6:$Q$12</c:f>
              <c:numCache>
                <c:formatCode>0.000</c:formatCode>
                <c:ptCount val="7"/>
                <c:pt idx="0">
                  <c:v>4.9742688195902149E-2</c:v>
                </c:pt>
                <c:pt idx="1">
                  <c:v>8.4748449424165317E-2</c:v>
                </c:pt>
                <c:pt idx="2">
                  <c:v>7.7734078745762117E-2</c:v>
                </c:pt>
                <c:pt idx="3">
                  <c:v>5.9738471745586011E-2</c:v>
                </c:pt>
                <c:pt idx="4">
                  <c:v>3.408644397723444E-2</c:v>
                </c:pt>
                <c:pt idx="5">
                  <c:v>1.1124277192131745E-2</c:v>
                </c:pt>
                <c:pt idx="6">
                  <c:v>2.1236339392379602E-3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26-DA4D-881C-8C52D91584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0317775"/>
        <c:axId val="1610319487"/>
      </c:lineChart>
      <c:catAx>
        <c:axId val="16103177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10319487"/>
        <c:crosses val="autoZero"/>
        <c:auto val="1"/>
        <c:lblAlgn val="ctr"/>
        <c:lblOffset val="100"/>
        <c:noMultiLvlLbl val="0"/>
      </c:catAx>
      <c:valAx>
        <c:axId val="1610319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10317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85725</xdr:colOff>
      <xdr:row>26</xdr:row>
      <xdr:rowOff>66675</xdr:rowOff>
    </xdr:from>
    <xdr:ext cx="7067550" cy="3648075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E5838C50-F2B5-2A4C-A4CA-F8BF80DB72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361950</xdr:colOff>
      <xdr:row>0</xdr:row>
      <xdr:rowOff>184150</xdr:rowOff>
    </xdr:from>
    <xdr:to>
      <xdr:col>24</xdr:col>
      <xdr:colOff>222250</xdr:colOff>
      <xdr:row>15</xdr:row>
      <xdr:rowOff>69850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610483C-9F02-60C0-C931-8FE7844077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355600</xdr:colOff>
      <xdr:row>17</xdr:row>
      <xdr:rowOff>127000</xdr:rowOff>
    </xdr:from>
    <xdr:to>
      <xdr:col>28</xdr:col>
      <xdr:colOff>215900</xdr:colOff>
      <xdr:row>31</xdr:row>
      <xdr:rowOff>114300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74178CB-60B1-B646-9AF7-D4215227C0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666115</xdr:colOff>
      <xdr:row>4</xdr:row>
      <xdr:rowOff>69215</xdr:rowOff>
    </xdr:from>
    <xdr:ext cx="5210175" cy="2876550"/>
    <xdr:graphicFrame macro="">
      <xdr:nvGraphicFramePr>
        <xdr:cNvPr id="2" name="Chart 11">
          <a:extLst>
            <a:ext uri="{FF2B5EF4-FFF2-40B4-BE49-F238E27FC236}">
              <a16:creationId xmlns:a16="http://schemas.microsoft.com/office/drawing/2014/main" id="{68B2D497-A66D-0F43-AB30-F7CEC3EBA3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>
    <xdr:from>
      <xdr:col>4</xdr:col>
      <xdr:colOff>335280</xdr:colOff>
      <xdr:row>14</xdr:row>
      <xdr:rowOff>127000</xdr:rowOff>
    </xdr:from>
    <xdr:to>
      <xdr:col>14</xdr:col>
      <xdr:colOff>563880</xdr:colOff>
      <xdr:row>33</xdr:row>
      <xdr:rowOff>71120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EDBE55-8CC8-DE47-9975-6DD97912C0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25400</xdr:colOff>
      <xdr:row>83</xdr:row>
      <xdr:rowOff>0</xdr:rowOff>
    </xdr:from>
    <xdr:to>
      <xdr:col>14</xdr:col>
      <xdr:colOff>469900</xdr:colOff>
      <xdr:row>100</xdr:row>
      <xdr:rowOff>38100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98CF9325-3720-7814-D92E-5E3414326C10}"/>
            </a:ext>
          </a:extLst>
        </xdr:cNvPr>
        <xdr:cNvSpPr txBox="1"/>
      </xdr:nvSpPr>
      <xdr:spPr>
        <a:xfrm>
          <a:off x="7454900" y="16865600"/>
          <a:ext cx="4572000" cy="3492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mulheres_func_pub_aux &lt;- svydesign(ids = ~1, weights = ~V0010, data = mulheres_func_pub)</a:t>
          </a:r>
        </a:p>
        <a:p>
          <a:endParaRPr lang="pt-BR" sz="1100"/>
        </a:p>
        <a:p>
          <a:r>
            <a:rPr lang="pt-BR" sz="1100"/>
            <a:t>svytable(~cod_mesorregiao , design = mulheres_func_pub_aux)</a:t>
          </a:r>
        </a:p>
        <a:p>
          <a:endParaRPr lang="pt-BR" sz="1100"/>
        </a:p>
        <a:p>
          <a:r>
            <a:rPr lang="pt-BR" sz="1100"/>
            <a:t>dados_nasc_12m &lt;- subset(mulheres_func_pub, flag_nasc_12m == 1)</a:t>
          </a:r>
        </a:p>
        <a:p>
          <a:r>
            <a:rPr lang="pt-BR" sz="1100"/>
            <a:t>design_nasc_12m &lt;- svydesign(ids = ~1, weights = ~V0010, data = dados_nasc_12m)</a:t>
          </a:r>
        </a:p>
        <a:p>
          <a:endParaRPr lang="pt-BR" sz="1100"/>
        </a:p>
        <a:p>
          <a:endParaRPr lang="pt-BR" sz="1100"/>
        </a:p>
        <a:p>
          <a:r>
            <a:rPr lang="pt-BR" sz="1100"/>
            <a:t>## so um filho</a:t>
          </a:r>
        </a:p>
        <a:p>
          <a:r>
            <a:rPr lang="pt-BR" sz="1100"/>
            <a:t>mulheres_1filho &lt;- subset(mulheres_func_pub, V6633 == 1)</a:t>
          </a:r>
        </a:p>
        <a:p>
          <a:r>
            <a:rPr lang="pt-BR" sz="1100"/>
            <a:t>mulheres_1filho_aux &lt;- svydesign(ids = ~1, weights = ~V0010, data = mulheres_1filho)</a:t>
          </a:r>
        </a:p>
        <a:p>
          <a:endParaRPr lang="pt-BR" sz="1100"/>
        </a:p>
        <a:p>
          <a:r>
            <a:rPr lang="pt-BR" sz="1100"/>
            <a:t>svytable(~idade_categ+cod_mesorregiao , design = design_nasc_12m)</a:t>
          </a:r>
        </a:p>
        <a:p>
          <a:r>
            <a:rPr lang="pt-BR" sz="1100"/>
            <a:t>svytable(~idade_categ+cod_mesorregiao , design = mulheres_func_pub_aux)</a:t>
          </a:r>
        </a:p>
        <a:p>
          <a:r>
            <a:rPr lang="pt-BR" sz="1100"/>
            <a:t>svytable(~idade_categ+cod_mesorregiao , design = mulheres_1filho_aux)</a:t>
          </a:r>
        </a:p>
      </xdr:txBody>
    </xdr:sp>
    <xdr:clientData/>
  </xdr:twoCellAnchor>
  <xdr:twoCellAnchor>
    <xdr:from>
      <xdr:col>7</xdr:col>
      <xdr:colOff>622300</xdr:colOff>
      <xdr:row>0</xdr:row>
      <xdr:rowOff>190500</xdr:rowOff>
    </xdr:from>
    <xdr:to>
      <xdr:col>15</xdr:col>
      <xdr:colOff>0</xdr:colOff>
      <xdr:row>16</xdr:row>
      <xdr:rowOff>50800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DCB25B3-A9A3-B4E8-7458-F324B2D4F2E8}"/>
            </a:ext>
          </a:extLst>
        </xdr:cNvPr>
        <xdr:cNvSpPr txBox="1"/>
      </xdr:nvSpPr>
      <xdr:spPr>
        <a:xfrm>
          <a:off x="6400800" y="190500"/>
          <a:ext cx="5981700" cy="3111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mulheres_func_pub &lt;- subset(mulheres_2000, ocupacao_v3 == 'funcionario_publico')</a:t>
          </a:r>
        </a:p>
        <a:p>
          <a:r>
            <a:rPr lang="pt-BR" sz="1100"/>
            <a:t>mulheres_func_pub_aux &lt;- svydesign(ids = ~1, weights = ~PES_PESSOA, data = mulheres_func_pub)</a:t>
          </a:r>
        </a:p>
        <a:p>
          <a:endParaRPr lang="pt-BR" sz="1100"/>
        </a:p>
        <a:p>
          <a:r>
            <a:rPr lang="pt-BR" sz="1100"/>
            <a:t>svytable(~V4620 , design = mulheres_func_pub_aux)</a:t>
          </a:r>
        </a:p>
        <a:p>
          <a:endParaRPr lang="pt-BR" sz="1100"/>
        </a:p>
        <a:p>
          <a:r>
            <a:rPr lang="pt-BR" sz="1100"/>
            <a:t>dados_nasc_12m &lt;- subset(mulheres_func_pub, flag_nasc_12m == 1)</a:t>
          </a:r>
        </a:p>
        <a:p>
          <a:r>
            <a:rPr lang="pt-BR" sz="1100"/>
            <a:t>design_nasc_12m &lt;- svydesign(ids = ~1, weights = ~PES_PESSOA, data = dados_nasc_12m)</a:t>
          </a:r>
        </a:p>
        <a:p>
          <a:endParaRPr lang="pt-BR" sz="1100"/>
        </a:p>
        <a:p>
          <a:r>
            <a:rPr lang="pt-BR" sz="1100"/>
            <a:t>V4620</a:t>
          </a:r>
        </a:p>
        <a:p>
          <a:endParaRPr lang="pt-BR" sz="1100"/>
        </a:p>
        <a:p>
          <a:r>
            <a:rPr lang="pt-BR" sz="1100"/>
            <a:t>## so um filho</a:t>
          </a:r>
        </a:p>
        <a:p>
          <a:r>
            <a:rPr lang="pt-BR" sz="1100"/>
            <a:t>mulheres_1filho &lt;- subset(mulheres_func_pub, V4620 == 1)</a:t>
          </a:r>
        </a:p>
        <a:p>
          <a:r>
            <a:rPr lang="pt-BR" sz="1100"/>
            <a:t>mulheres_1filho_aux &lt;- svydesign(ids = ~1, weights = ~PES_PESSOA, data = mulheres_1filho)</a:t>
          </a:r>
        </a:p>
        <a:p>
          <a:endParaRPr lang="pt-BR" sz="1100"/>
        </a:p>
        <a:p>
          <a:r>
            <a:rPr lang="pt-BR" sz="1100"/>
            <a:t>svytable(~idade_categ+V1002 , design = design_nasc_12m)</a:t>
          </a:r>
        </a:p>
        <a:p>
          <a:r>
            <a:rPr lang="pt-BR" sz="1100"/>
            <a:t>svytable(~idade_categ+V1002 , design = mulheres_func_pub_aux)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116840</xdr:colOff>
      <xdr:row>25</xdr:row>
      <xdr:rowOff>96520</xdr:rowOff>
    </xdr:from>
    <xdr:to>
      <xdr:col>25</xdr:col>
      <xdr:colOff>812800</xdr:colOff>
      <xdr:row>41</xdr:row>
      <xdr:rowOff>132080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634AC7A-908D-660C-709F-C0A38072A8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528320</xdr:colOff>
      <xdr:row>81</xdr:row>
      <xdr:rowOff>106680</xdr:rowOff>
    </xdr:from>
    <xdr:to>
      <xdr:col>20</xdr:col>
      <xdr:colOff>406400</xdr:colOff>
      <xdr:row>102</xdr:row>
      <xdr:rowOff>30480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14C3EE7-8D49-3529-227C-6517963D52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284480</xdr:colOff>
      <xdr:row>81</xdr:row>
      <xdr:rowOff>132080</xdr:rowOff>
    </xdr:from>
    <xdr:to>
      <xdr:col>25</xdr:col>
      <xdr:colOff>274320</xdr:colOff>
      <xdr:row>102</xdr:row>
      <xdr:rowOff>55880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3E6B7F8A-0547-6E47-848A-1125CE543C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990600</xdr:colOff>
      <xdr:row>8</xdr:row>
      <xdr:rowOff>132080</xdr:rowOff>
    </xdr:from>
    <xdr:to>
      <xdr:col>21</xdr:col>
      <xdr:colOff>543560</xdr:colOff>
      <xdr:row>22</xdr:row>
      <xdr:rowOff>172720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A4700EB7-3E4E-34AD-6D24-586C17B5B2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520700</xdr:colOff>
      <xdr:row>11</xdr:row>
      <xdr:rowOff>158750</xdr:rowOff>
    </xdr:from>
    <xdr:to>
      <xdr:col>17</xdr:col>
      <xdr:colOff>406400</xdr:colOff>
      <xdr:row>26</xdr:row>
      <xdr:rowOff>44450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39A7D47-B00E-E547-BD8F-970E1A513F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hyperlink" Target="https://sidra.ibge.gov.br/tabela/357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D4865-83BB-7845-8993-EC1BB333ADFA}">
  <dimension ref="A1:O1000"/>
  <sheetViews>
    <sheetView tabSelected="1" workbookViewId="0">
      <selection activeCell="M1" sqref="M1"/>
    </sheetView>
  </sheetViews>
  <sheetFormatPr baseColWidth="10" defaultColWidth="12.6640625" defaultRowHeight="15" customHeight="1" x14ac:dyDescent="0.2"/>
  <cols>
    <col min="1" max="2" width="8.6640625" style="1" customWidth="1"/>
    <col min="3" max="3" width="21.6640625" style="1" customWidth="1"/>
    <col min="4" max="4" width="11.6640625" style="1" customWidth="1"/>
    <col min="5" max="6" width="10.6640625" style="1" customWidth="1"/>
    <col min="7" max="7" width="10.83203125" style="1" customWidth="1"/>
    <col min="8" max="9" width="8.6640625" style="1" customWidth="1"/>
    <col min="10" max="10" width="13" style="1" customWidth="1"/>
    <col min="11" max="14" width="8.6640625" style="1" customWidth="1"/>
    <col min="15" max="15" width="10.1640625" style="1" customWidth="1"/>
    <col min="16" max="26" width="8.6640625" style="1" customWidth="1"/>
    <col min="27" max="16384" width="12.6640625" style="1"/>
  </cols>
  <sheetData>
    <row r="1" spans="1:15" x14ac:dyDescent="0.2">
      <c r="A1" s="169" t="s">
        <v>42</v>
      </c>
      <c r="B1" s="169" t="s">
        <v>410</v>
      </c>
      <c r="C1" s="169" t="s">
        <v>44</v>
      </c>
      <c r="D1" s="169" t="s">
        <v>45</v>
      </c>
      <c r="E1" s="169" t="s">
        <v>46</v>
      </c>
      <c r="F1" s="169"/>
      <c r="G1" s="169"/>
      <c r="I1" s="169" t="s">
        <v>42</v>
      </c>
      <c r="J1" s="169" t="s">
        <v>410</v>
      </c>
      <c r="K1" s="169" t="s">
        <v>44</v>
      </c>
      <c r="L1" s="169" t="s">
        <v>45</v>
      </c>
      <c r="M1" s="169" t="s">
        <v>46</v>
      </c>
      <c r="N1" s="169"/>
      <c r="O1" s="169"/>
    </row>
    <row r="2" spans="1:15" x14ac:dyDescent="0.2">
      <c r="A2" s="169"/>
      <c r="B2" s="169" t="s">
        <v>174</v>
      </c>
      <c r="C2" s="169"/>
      <c r="D2" s="169"/>
      <c r="E2" s="169"/>
      <c r="F2" s="169"/>
      <c r="G2" s="169"/>
      <c r="I2" s="169"/>
      <c r="J2" s="169" t="s">
        <v>174</v>
      </c>
      <c r="K2" s="169"/>
      <c r="L2" s="169"/>
      <c r="M2" s="169"/>
      <c r="N2" s="169"/>
      <c r="O2" s="169"/>
    </row>
    <row r="3" spans="1:15" x14ac:dyDescent="0.2">
      <c r="B3" s="170" t="s">
        <v>48</v>
      </c>
      <c r="C3" s="170" t="s">
        <v>175</v>
      </c>
      <c r="D3" s="170" t="s">
        <v>176</v>
      </c>
      <c r="E3" s="170" t="s">
        <v>177</v>
      </c>
      <c r="F3" s="170" t="s">
        <v>178</v>
      </c>
      <c r="G3" s="170" t="s">
        <v>179</v>
      </c>
      <c r="J3" s="170" t="s">
        <v>48</v>
      </c>
      <c r="K3" s="170" t="s">
        <v>175</v>
      </c>
      <c r="L3" s="170" t="s">
        <v>176</v>
      </c>
      <c r="M3" s="170" t="s">
        <v>177</v>
      </c>
      <c r="N3" s="170" t="s">
        <v>178</v>
      </c>
      <c r="O3" s="170" t="s">
        <v>179</v>
      </c>
    </row>
    <row r="4" spans="1:15" x14ac:dyDescent="0.2">
      <c r="A4" s="169"/>
      <c r="B4" s="170" t="s">
        <v>54</v>
      </c>
      <c r="C4" s="171">
        <v>15503.606299999999</v>
      </c>
      <c r="D4" s="171">
        <v>17333.86665</v>
      </c>
      <c r="E4" s="171">
        <v>10036.25246</v>
      </c>
      <c r="F4" s="171">
        <v>3025.8800700000002</v>
      </c>
      <c r="G4" s="171">
        <v>63.108319999999999</v>
      </c>
      <c r="I4" s="169"/>
      <c r="J4" s="170" t="s">
        <v>54</v>
      </c>
      <c r="K4" s="171">
        <v>6530.2335999999996</v>
      </c>
      <c r="L4" s="171">
        <v>4072.5237999999999</v>
      </c>
      <c r="M4" s="171">
        <v>504.07</v>
      </c>
      <c r="N4" s="171">
        <v>1254.2995000000001</v>
      </c>
      <c r="O4" s="171">
        <v>368.95359999999999</v>
      </c>
    </row>
    <row r="5" spans="1:15" x14ac:dyDescent="0.2">
      <c r="A5" s="169"/>
      <c r="B5" s="170" t="s">
        <v>55</v>
      </c>
      <c r="C5" s="171">
        <v>49903.186699999998</v>
      </c>
      <c r="D5" s="171">
        <v>91467.207519999996</v>
      </c>
      <c r="E5" s="171">
        <v>15488.24433</v>
      </c>
      <c r="F5" s="171">
        <v>11902.7233</v>
      </c>
      <c r="G5" s="171">
        <v>164.36114000000001</v>
      </c>
      <c r="I5" s="169"/>
      <c r="J5" s="170" t="s">
        <v>55</v>
      </c>
      <c r="K5" s="171">
        <v>52835.5383</v>
      </c>
      <c r="L5" s="171">
        <v>43930.978300000002</v>
      </c>
      <c r="M5" s="171">
        <v>3305.8310999999999</v>
      </c>
      <c r="N5" s="171">
        <v>18172.722099999999</v>
      </c>
      <c r="O5" s="171">
        <v>2321.7293</v>
      </c>
    </row>
    <row r="6" spans="1:15" x14ac:dyDescent="0.2">
      <c r="A6" s="169"/>
      <c r="B6" s="170" t="s">
        <v>56</v>
      </c>
      <c r="C6" s="171">
        <v>72723.555049999995</v>
      </c>
      <c r="D6" s="171">
        <v>133881.37578999999</v>
      </c>
      <c r="E6" s="171">
        <v>14816.03356</v>
      </c>
      <c r="F6" s="171">
        <v>20198.174599999998</v>
      </c>
      <c r="G6" s="171">
        <v>105.29501999999999</v>
      </c>
      <c r="I6" s="169"/>
      <c r="J6" s="170" t="s">
        <v>56</v>
      </c>
      <c r="K6" s="171">
        <v>109576.0809</v>
      </c>
      <c r="L6" s="171">
        <v>109988.29240000001</v>
      </c>
      <c r="M6" s="171">
        <v>6407.4717000000001</v>
      </c>
      <c r="N6" s="171">
        <v>43504.488499999999</v>
      </c>
      <c r="O6" s="171">
        <v>5074.0006000000003</v>
      </c>
    </row>
    <row r="7" spans="1:15" x14ac:dyDescent="0.2">
      <c r="A7" s="169"/>
      <c r="B7" s="170" t="s">
        <v>57</v>
      </c>
      <c r="C7" s="171">
        <v>92983.700490000003</v>
      </c>
      <c r="D7" s="171">
        <v>168356.79483999999</v>
      </c>
      <c r="E7" s="171">
        <v>17304.859359999999</v>
      </c>
      <c r="F7" s="171">
        <v>28478.075390000002</v>
      </c>
      <c r="G7" s="171">
        <v>131.43081000000001</v>
      </c>
      <c r="I7" s="169"/>
      <c r="J7" s="170" t="s">
        <v>57</v>
      </c>
      <c r="K7" s="171">
        <v>132276.63699999999</v>
      </c>
      <c r="L7" s="171">
        <v>163435.7868</v>
      </c>
      <c r="M7" s="171">
        <v>6784.2354999999998</v>
      </c>
      <c r="N7" s="171">
        <v>50935.161099999998</v>
      </c>
      <c r="O7" s="171">
        <v>4796.8626999999997</v>
      </c>
    </row>
    <row r="8" spans="1:15" x14ac:dyDescent="0.2">
      <c r="A8" s="169"/>
      <c r="B8" s="170" t="s">
        <v>58</v>
      </c>
      <c r="C8" s="171">
        <v>108539.86309</v>
      </c>
      <c r="D8" s="171">
        <v>181423.15033</v>
      </c>
      <c r="E8" s="171">
        <v>19140.835360000001</v>
      </c>
      <c r="F8" s="171">
        <v>33229.751029999999</v>
      </c>
      <c r="G8" s="171">
        <v>97.475290000000001</v>
      </c>
      <c r="I8" s="169"/>
      <c r="J8" s="170" t="s">
        <v>58</v>
      </c>
      <c r="K8" s="171">
        <v>132336.94330000001</v>
      </c>
      <c r="L8" s="171">
        <v>179842.01389999999</v>
      </c>
      <c r="M8" s="171">
        <v>6310.6152000000002</v>
      </c>
      <c r="N8" s="171">
        <v>47852.557000000001</v>
      </c>
      <c r="O8" s="171">
        <v>4701.6727000000001</v>
      </c>
    </row>
    <row r="9" spans="1:15" x14ac:dyDescent="0.2">
      <c r="A9" s="169"/>
      <c r="B9" s="170" t="s">
        <v>59</v>
      </c>
      <c r="C9" s="171">
        <v>97889.1299</v>
      </c>
      <c r="D9" s="171">
        <v>164823.14515</v>
      </c>
      <c r="E9" s="171">
        <v>17901.709910000001</v>
      </c>
      <c r="F9" s="171">
        <v>33209.344899999996</v>
      </c>
      <c r="G9" s="171">
        <v>103.65801</v>
      </c>
      <c r="I9" s="169"/>
      <c r="J9" s="170" t="s">
        <v>59</v>
      </c>
      <c r="K9" s="171">
        <v>142696.50349999999</v>
      </c>
      <c r="L9" s="171">
        <v>197418.9118</v>
      </c>
      <c r="M9" s="171">
        <v>6955.4843000000001</v>
      </c>
      <c r="N9" s="171">
        <v>48388.262499999997</v>
      </c>
      <c r="O9" s="171">
        <v>4660.0029000000004</v>
      </c>
    </row>
    <row r="10" spans="1:15" x14ac:dyDescent="0.2">
      <c r="A10" s="169"/>
      <c r="B10" s="170" t="s">
        <v>60</v>
      </c>
      <c r="C10" s="171">
        <v>71493.046310000005</v>
      </c>
      <c r="D10" s="171">
        <v>138796.66701999999</v>
      </c>
      <c r="E10" s="171">
        <v>14051.34065</v>
      </c>
      <c r="F10" s="171">
        <v>25082.275310000001</v>
      </c>
      <c r="G10" s="171">
        <v>48.79853</v>
      </c>
      <c r="I10" s="169"/>
      <c r="J10" s="170" t="s">
        <v>60</v>
      </c>
      <c r="K10" s="171">
        <v>146847.7971</v>
      </c>
      <c r="L10" s="171">
        <v>197686.10639999999</v>
      </c>
      <c r="M10" s="171">
        <v>7863.0523000000003</v>
      </c>
      <c r="N10" s="171">
        <v>48061.835099999997</v>
      </c>
      <c r="O10" s="171">
        <v>4736.5767999999998</v>
      </c>
    </row>
    <row r="11" spans="1:15" x14ac:dyDescent="0.2">
      <c r="B11" s="170" t="s">
        <v>8</v>
      </c>
      <c r="C11" s="172">
        <f t="shared" ref="C11:G11" si="0">SUM(C4:C10)</f>
        <v>509036.08783999999</v>
      </c>
      <c r="D11" s="172">
        <f t="shared" si="0"/>
        <v>896082.20729999989</v>
      </c>
      <c r="E11" s="172">
        <f t="shared" si="0"/>
        <v>108739.27563</v>
      </c>
      <c r="F11" s="172">
        <f t="shared" si="0"/>
        <v>155126.22459999999</v>
      </c>
      <c r="G11" s="172">
        <f t="shared" si="0"/>
        <v>714.12711999999999</v>
      </c>
      <c r="J11" s="170" t="s">
        <v>8</v>
      </c>
      <c r="K11" s="172">
        <f t="shared" ref="K11:O11" si="1">SUM(K4:K10)</f>
        <v>723099.73369999998</v>
      </c>
      <c r="L11" s="172">
        <f t="shared" si="1"/>
        <v>896374.61339999991</v>
      </c>
      <c r="M11" s="172">
        <f t="shared" si="1"/>
        <v>38130.7601</v>
      </c>
      <c r="N11" s="172">
        <f t="shared" si="1"/>
        <v>258169.32580000002</v>
      </c>
      <c r="O11" s="172">
        <f t="shared" si="1"/>
        <v>26659.798599999998</v>
      </c>
    </row>
    <row r="13" spans="1:15" x14ac:dyDescent="0.2">
      <c r="B13" s="170" t="s">
        <v>48</v>
      </c>
      <c r="C13" s="170" t="s">
        <v>175</v>
      </c>
      <c r="D13" s="170" t="s">
        <v>176</v>
      </c>
      <c r="E13" s="170" t="s">
        <v>177</v>
      </c>
      <c r="F13" s="170" t="s">
        <v>178</v>
      </c>
      <c r="G13" s="170" t="s">
        <v>179</v>
      </c>
      <c r="J13" s="170" t="s">
        <v>48</v>
      </c>
      <c r="K13" s="170" t="s">
        <v>175</v>
      </c>
      <c r="L13" s="170" t="s">
        <v>176</v>
      </c>
      <c r="M13" s="170" t="s">
        <v>177</v>
      </c>
      <c r="N13" s="170" t="s">
        <v>178</v>
      </c>
      <c r="O13" s="170" t="s">
        <v>179</v>
      </c>
    </row>
    <row r="14" spans="1:15" x14ac:dyDescent="0.2">
      <c r="B14" s="170" t="s">
        <v>54</v>
      </c>
      <c r="C14" s="173">
        <f t="shared" ref="C14:G21" si="2">C4/C$11</f>
        <v>3.0456792102474838E-2</v>
      </c>
      <c r="D14" s="173">
        <f t="shared" si="2"/>
        <v>1.934405851247617E-2</v>
      </c>
      <c r="E14" s="173">
        <f t="shared" si="2"/>
        <v>9.2296480750430024E-2</v>
      </c>
      <c r="F14" s="173">
        <f t="shared" si="2"/>
        <v>1.9505922211427301E-2</v>
      </c>
      <c r="G14" s="173">
        <f t="shared" si="2"/>
        <v>8.8371269249654036E-2</v>
      </c>
      <c r="I14" s="169"/>
      <c r="J14" s="170" t="s">
        <v>54</v>
      </c>
      <c r="K14" s="173">
        <f t="shared" ref="K14:O21" si="3">K4/K$11</f>
        <v>9.0308892337516294E-3</v>
      </c>
      <c r="L14" s="173">
        <f t="shared" si="3"/>
        <v>4.5433279112542975E-3</v>
      </c>
      <c r="M14" s="173">
        <f t="shared" si="3"/>
        <v>1.3219510932329932E-2</v>
      </c>
      <c r="N14" s="173">
        <f t="shared" si="3"/>
        <v>4.8584373690145032E-3</v>
      </c>
      <c r="O14" s="173">
        <f t="shared" si="3"/>
        <v>1.383932435258532E-2</v>
      </c>
    </row>
    <row r="15" spans="1:15" x14ac:dyDescent="0.2">
      <c r="B15" s="170" t="s">
        <v>55</v>
      </c>
      <c r="C15" s="173">
        <f t="shared" si="2"/>
        <v>9.803467355675094E-2</v>
      </c>
      <c r="D15" s="173">
        <f t="shared" si="2"/>
        <v>0.10207457170207782</v>
      </c>
      <c r="E15" s="173">
        <f t="shared" si="2"/>
        <v>0.14243468369883971</v>
      </c>
      <c r="F15" s="173">
        <f t="shared" si="2"/>
        <v>7.6729278564547754E-2</v>
      </c>
      <c r="G15" s="173">
        <f t="shared" si="2"/>
        <v>0.2301566981520041</v>
      </c>
      <c r="I15" s="169"/>
      <c r="J15" s="170" t="s">
        <v>55</v>
      </c>
      <c r="K15" s="173">
        <f t="shared" si="3"/>
        <v>7.3068120257281738E-2</v>
      </c>
      <c r="L15" s="173">
        <f t="shared" si="3"/>
        <v>4.9009619017842662E-2</v>
      </c>
      <c r="M15" s="173">
        <f t="shared" si="3"/>
        <v>8.669722531967046E-2</v>
      </c>
      <c r="N15" s="173">
        <f t="shared" si="3"/>
        <v>7.039070983234523E-2</v>
      </c>
      <c r="O15" s="173">
        <f t="shared" si="3"/>
        <v>8.7087278296243395E-2</v>
      </c>
    </row>
    <row r="16" spans="1:15" x14ac:dyDescent="0.2">
      <c r="B16" s="170" t="s">
        <v>56</v>
      </c>
      <c r="C16" s="173">
        <f t="shared" si="2"/>
        <v>0.14286522466135729</v>
      </c>
      <c r="D16" s="173">
        <f t="shared" si="2"/>
        <v>0.14940747031837645</v>
      </c>
      <c r="E16" s="173">
        <f t="shared" si="2"/>
        <v>0.13625282561577423</v>
      </c>
      <c r="F16" s="173">
        <f t="shared" si="2"/>
        <v>0.13020477132143135</v>
      </c>
      <c r="G16" s="173">
        <f t="shared" si="2"/>
        <v>0.14744576567824508</v>
      </c>
      <c r="I16" s="169"/>
      <c r="J16" s="170" t="s">
        <v>56</v>
      </c>
      <c r="K16" s="173">
        <f t="shared" si="3"/>
        <v>0.15153660801299781</v>
      </c>
      <c r="L16" s="173">
        <f t="shared" si="3"/>
        <v>0.12270348887147546</v>
      </c>
      <c r="M16" s="173">
        <f t="shared" si="3"/>
        <v>0.16803944330498674</v>
      </c>
      <c r="N16" s="173">
        <f t="shared" si="3"/>
        <v>0.1685114541210147</v>
      </c>
      <c r="O16" s="173">
        <f t="shared" si="3"/>
        <v>0.19032404093255231</v>
      </c>
    </row>
    <row r="17" spans="2:15" x14ac:dyDescent="0.2">
      <c r="B17" s="170" t="s">
        <v>57</v>
      </c>
      <c r="C17" s="173">
        <f t="shared" si="2"/>
        <v>0.18266622487328757</v>
      </c>
      <c r="D17" s="173">
        <f t="shared" si="2"/>
        <v>0.18788097059451569</v>
      </c>
      <c r="E17" s="173">
        <f t="shared" si="2"/>
        <v>0.15914083719742725</v>
      </c>
      <c r="F17" s="173">
        <f t="shared" si="2"/>
        <v>0.18358001984146788</v>
      </c>
      <c r="G17" s="173">
        <f t="shared" si="2"/>
        <v>0.18404399765688778</v>
      </c>
      <c r="I17" s="169"/>
      <c r="J17" s="170" t="s">
        <v>57</v>
      </c>
      <c r="K17" s="173">
        <f t="shared" si="3"/>
        <v>0.18293000375364402</v>
      </c>
      <c r="L17" s="173">
        <f t="shared" si="3"/>
        <v>0.18232978082687859</v>
      </c>
      <c r="M17" s="173">
        <f t="shared" si="3"/>
        <v>0.17792027964320595</v>
      </c>
      <c r="N17" s="173">
        <f t="shared" si="3"/>
        <v>0.19729362092946207</v>
      </c>
      <c r="O17" s="173">
        <f t="shared" si="3"/>
        <v>0.17992869233453249</v>
      </c>
    </row>
    <row r="18" spans="2:15" x14ac:dyDescent="0.2">
      <c r="B18" s="170" t="s">
        <v>58</v>
      </c>
      <c r="C18" s="173">
        <f t="shared" si="2"/>
        <v>0.2132262636831285</v>
      </c>
      <c r="D18" s="173">
        <f t="shared" si="2"/>
        <v>0.20246261877763325</v>
      </c>
      <c r="E18" s="173">
        <f t="shared" si="2"/>
        <v>0.17602504016239051</v>
      </c>
      <c r="F18" s="173">
        <f t="shared" si="2"/>
        <v>0.21421104726608556</v>
      </c>
      <c r="G18" s="173">
        <f t="shared" si="2"/>
        <v>0.13649571241601915</v>
      </c>
      <c r="I18" s="169"/>
      <c r="J18" s="170" t="s">
        <v>58</v>
      </c>
      <c r="K18" s="173">
        <f t="shared" si="3"/>
        <v>0.18301340345245382</v>
      </c>
      <c r="L18" s="173">
        <f t="shared" si="3"/>
        <v>0.20063264980011983</v>
      </c>
      <c r="M18" s="173">
        <f t="shared" si="3"/>
        <v>0.16549932871650255</v>
      </c>
      <c r="N18" s="173">
        <f t="shared" si="3"/>
        <v>0.18535337942149901</v>
      </c>
      <c r="O18" s="173">
        <f t="shared" si="3"/>
        <v>0.17635814773184372</v>
      </c>
    </row>
    <row r="19" spans="2:15" x14ac:dyDescent="0.2">
      <c r="B19" s="170" t="s">
        <v>59</v>
      </c>
      <c r="C19" s="173">
        <f t="shared" si="2"/>
        <v>0.19230292751025635</v>
      </c>
      <c r="D19" s="173">
        <f t="shared" si="2"/>
        <v>0.18393752694480045</v>
      </c>
      <c r="E19" s="173">
        <f t="shared" si="2"/>
        <v>0.16462965939660087</v>
      </c>
      <c r="F19" s="173">
        <f t="shared" si="2"/>
        <v>0.21407950193870701</v>
      </c>
      <c r="G19" s="173">
        <f t="shared" si="2"/>
        <v>0.14515344270919162</v>
      </c>
      <c r="I19" s="169"/>
      <c r="J19" s="170" t="s">
        <v>59</v>
      </c>
      <c r="K19" s="173">
        <f t="shared" si="3"/>
        <v>0.19734000283728773</v>
      </c>
      <c r="L19" s="173">
        <f t="shared" si="3"/>
        <v>0.22024152497043489</v>
      </c>
      <c r="M19" s="173">
        <f t="shared" si="3"/>
        <v>0.18241137291149884</v>
      </c>
      <c r="N19" s="173">
        <f t="shared" si="3"/>
        <v>0.18742839549221146</v>
      </c>
      <c r="O19" s="173">
        <f t="shared" si="3"/>
        <v>0.1747951276721198</v>
      </c>
    </row>
    <row r="20" spans="2:15" x14ac:dyDescent="0.2">
      <c r="B20" s="170" t="s">
        <v>60</v>
      </c>
      <c r="C20" s="173">
        <f t="shared" si="2"/>
        <v>0.14044789361274454</v>
      </c>
      <c r="D20" s="173">
        <f t="shared" si="2"/>
        <v>0.15489278315012026</v>
      </c>
      <c r="E20" s="173">
        <f t="shared" si="2"/>
        <v>0.12922047317853738</v>
      </c>
      <c r="F20" s="173">
        <f t="shared" si="2"/>
        <v>0.16168945885633321</v>
      </c>
      <c r="G20" s="173">
        <f t="shared" si="2"/>
        <v>6.8333114137998294E-2</v>
      </c>
      <c r="I20" s="169"/>
      <c r="J20" s="170" t="s">
        <v>60</v>
      </c>
      <c r="K20" s="173">
        <f t="shared" si="3"/>
        <v>0.20308097245258327</v>
      </c>
      <c r="L20" s="173">
        <f t="shared" si="3"/>
        <v>0.22053960860199437</v>
      </c>
      <c r="M20" s="173">
        <f t="shared" si="3"/>
        <v>0.20621283917180555</v>
      </c>
      <c r="N20" s="173">
        <f t="shared" si="3"/>
        <v>0.18616400283445289</v>
      </c>
      <c r="O20" s="173">
        <f t="shared" si="3"/>
        <v>0.17766738868012305</v>
      </c>
    </row>
    <row r="21" spans="2:15" ht="15.75" customHeight="1" x14ac:dyDescent="0.2">
      <c r="B21" s="170" t="s">
        <v>8</v>
      </c>
      <c r="C21" s="173">
        <f t="shared" si="2"/>
        <v>1</v>
      </c>
      <c r="D21" s="173">
        <f t="shared" si="2"/>
        <v>1</v>
      </c>
      <c r="E21" s="173">
        <f t="shared" si="2"/>
        <v>1</v>
      </c>
      <c r="F21" s="173">
        <f t="shared" si="2"/>
        <v>1</v>
      </c>
      <c r="G21" s="173">
        <f t="shared" si="2"/>
        <v>1</v>
      </c>
      <c r="J21" s="170" t="s">
        <v>8</v>
      </c>
      <c r="K21" s="173">
        <f t="shared" si="3"/>
        <v>1</v>
      </c>
      <c r="L21" s="173">
        <f t="shared" si="3"/>
        <v>1</v>
      </c>
      <c r="M21" s="173">
        <f t="shared" si="3"/>
        <v>1</v>
      </c>
      <c r="N21" s="173">
        <f t="shared" si="3"/>
        <v>1</v>
      </c>
      <c r="O21" s="173">
        <f t="shared" si="3"/>
        <v>1</v>
      </c>
    </row>
    <row r="22" spans="2:15" ht="15.75" customHeight="1" x14ac:dyDescent="0.2"/>
    <row r="23" spans="2:15" ht="15.75" customHeight="1" x14ac:dyDescent="0.2">
      <c r="B23" s="170" t="s">
        <v>48</v>
      </c>
      <c r="C23" s="170" t="s">
        <v>411</v>
      </c>
      <c r="D23" s="170" t="s">
        <v>176</v>
      </c>
      <c r="E23" s="170" t="s">
        <v>177</v>
      </c>
      <c r="F23" s="170" t="s">
        <v>178</v>
      </c>
      <c r="G23" s="170"/>
      <c r="J23" s="170" t="s">
        <v>48</v>
      </c>
      <c r="K23" s="170" t="s">
        <v>175</v>
      </c>
      <c r="L23" s="170" t="s">
        <v>176</v>
      </c>
      <c r="M23" s="170" t="s">
        <v>177</v>
      </c>
      <c r="N23" s="170" t="s">
        <v>178</v>
      </c>
      <c r="O23" s="170"/>
    </row>
    <row r="24" spans="2:15" ht="15.75" customHeight="1" x14ac:dyDescent="0.2">
      <c r="B24" s="174"/>
      <c r="C24" s="173">
        <f t="shared" ref="C24:D24" si="4">C11/SUM($C$11:$G$11)</f>
        <v>0.30486717446523542</v>
      </c>
      <c r="D24" s="173">
        <f t="shared" si="4"/>
        <v>0.53667324803499994</v>
      </c>
      <c r="E24" s="173">
        <f>(E11+G11)/SUM($C$11:$G$11)</f>
        <v>6.5552817234613009E-2</v>
      </c>
      <c r="F24" s="173">
        <f>F11/SUM($C$11:$G$11)</f>
        <v>9.2906760265151531E-2</v>
      </c>
      <c r="G24" s="173"/>
      <c r="J24" s="174"/>
      <c r="K24" s="173">
        <f t="shared" ref="K24:L24" si="5">K11/SUM($K$11:$O$11)</f>
        <v>0.37226471915313003</v>
      </c>
      <c r="L24" s="173">
        <f t="shared" si="5"/>
        <v>0.4614697366930402</v>
      </c>
      <c r="M24" s="173">
        <f>(M11+O11)/SUM($K$11:$O$11)</f>
        <v>3.3355342305016654E-2</v>
      </c>
      <c r="N24" s="173">
        <f>N11/SUM($K$11:$O$11)</f>
        <v>0.13291020184881303</v>
      </c>
      <c r="O24" s="173"/>
    </row>
    <row r="25" spans="2:15" ht="15.75" customHeight="1" x14ac:dyDescent="0.2"/>
    <row r="26" spans="2:15" ht="15.75" customHeight="1" x14ac:dyDescent="0.2"/>
    <row r="27" spans="2:15" ht="15.75" customHeight="1" x14ac:dyDescent="0.2"/>
    <row r="28" spans="2:15" ht="15.75" customHeight="1" x14ac:dyDescent="0.2"/>
    <row r="29" spans="2:15" ht="15.75" customHeight="1" x14ac:dyDescent="0.2"/>
    <row r="30" spans="2:15" ht="15.75" customHeight="1" x14ac:dyDescent="0.2"/>
    <row r="31" spans="2:15" ht="15.75" customHeight="1" x14ac:dyDescent="0.2"/>
    <row r="32" spans="2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511811024" right="0.511811024" top="0.78740157499999996" bottom="0.78740157499999996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513DD-7391-C64B-80FD-806A9DC3FAAE}">
  <dimension ref="A1:AO1029"/>
  <sheetViews>
    <sheetView workbookViewId="0">
      <selection activeCell="P19" sqref="P19"/>
    </sheetView>
  </sheetViews>
  <sheetFormatPr baseColWidth="10" defaultColWidth="12.5" defaultRowHeight="15" customHeight="1" x14ac:dyDescent="0.2"/>
  <cols>
    <col min="1" max="32" width="8.5" style="1" customWidth="1"/>
    <col min="33" max="16384" width="12.5" style="1"/>
  </cols>
  <sheetData>
    <row r="1" spans="1:41" s="73" customFormat="1" ht="15" customHeight="1" x14ac:dyDescent="0.2"/>
    <row r="2" spans="1:41" x14ac:dyDescent="0.2">
      <c r="A2" s="10" t="s">
        <v>42</v>
      </c>
      <c r="B2" s="10" t="s">
        <v>95</v>
      </c>
      <c r="C2" s="10" t="s">
        <v>44</v>
      </c>
      <c r="D2" s="10" t="s">
        <v>45</v>
      </c>
      <c r="E2" s="10" t="s">
        <v>84</v>
      </c>
      <c r="Q2" s="10" t="s">
        <v>42</v>
      </c>
      <c r="R2" s="10" t="s">
        <v>95</v>
      </c>
      <c r="S2" s="10" t="s">
        <v>44</v>
      </c>
      <c r="T2" s="10" t="s">
        <v>45</v>
      </c>
      <c r="U2" s="10" t="s">
        <v>86</v>
      </c>
    </row>
    <row r="3" spans="1:41" x14ac:dyDescent="0.2">
      <c r="A3" s="10" t="s">
        <v>47</v>
      </c>
      <c r="B3" s="10" t="s">
        <v>47</v>
      </c>
      <c r="C3" s="10" t="s">
        <v>87</v>
      </c>
      <c r="D3" s="10" t="s">
        <v>45</v>
      </c>
      <c r="E3" s="10" t="s">
        <v>88</v>
      </c>
      <c r="Q3" s="10" t="s">
        <v>47</v>
      </c>
      <c r="R3" s="10" t="s">
        <v>47</v>
      </c>
      <c r="S3" s="10" t="s">
        <v>87</v>
      </c>
      <c r="T3" s="10" t="s">
        <v>45</v>
      </c>
      <c r="U3" s="10" t="s">
        <v>88</v>
      </c>
    </row>
    <row r="4" spans="1:41" x14ac:dyDescent="0.2">
      <c r="K4" s="175" t="str">
        <f>E3</f>
        <v>funcionario_publico</v>
      </c>
      <c r="L4" s="176"/>
      <c r="M4" s="176"/>
      <c r="N4" s="176"/>
      <c r="O4" s="177"/>
      <c r="AA4" s="175" t="str">
        <f>U3</f>
        <v>funcionario_publico</v>
      </c>
      <c r="AB4" s="176"/>
      <c r="AC4" s="176"/>
      <c r="AD4" s="176"/>
      <c r="AE4" s="177"/>
    </row>
    <row r="5" spans="1:41" ht="19.5" customHeight="1" x14ac:dyDescent="0.2">
      <c r="A5" s="18"/>
      <c r="B5" s="107" t="s">
        <v>48</v>
      </c>
      <c r="C5" s="18"/>
      <c r="D5" s="18"/>
      <c r="E5" s="18"/>
      <c r="F5" s="18"/>
      <c r="G5" s="18"/>
      <c r="H5" s="18"/>
      <c r="I5" s="18"/>
      <c r="K5" s="25" t="s">
        <v>49</v>
      </c>
      <c r="L5" s="26" t="s">
        <v>50</v>
      </c>
      <c r="M5" s="26" t="s">
        <v>51</v>
      </c>
      <c r="N5" s="26" t="s">
        <v>52</v>
      </c>
      <c r="O5" s="25" t="s">
        <v>53</v>
      </c>
      <c r="R5" s="10" t="s">
        <v>48</v>
      </c>
      <c r="AA5" s="25" t="s">
        <v>49</v>
      </c>
      <c r="AB5" s="26" t="s">
        <v>50</v>
      </c>
      <c r="AC5" s="26" t="s">
        <v>51</v>
      </c>
      <c r="AD5" s="26" t="s">
        <v>52</v>
      </c>
      <c r="AE5" s="25" t="s">
        <v>53</v>
      </c>
      <c r="AI5" s="56"/>
      <c r="AJ5" s="56"/>
      <c r="AK5" s="56"/>
      <c r="AL5" s="56"/>
      <c r="AM5" s="56"/>
      <c r="AN5" s="56"/>
      <c r="AO5" s="56"/>
    </row>
    <row r="6" spans="1:41" x14ac:dyDescent="0.2">
      <c r="A6" s="107" t="s">
        <v>49</v>
      </c>
      <c r="B6" s="18"/>
      <c r="C6" s="107" t="s">
        <v>54</v>
      </c>
      <c r="D6" s="107" t="s">
        <v>55</v>
      </c>
      <c r="E6" s="107" t="s">
        <v>56</v>
      </c>
      <c r="F6" s="107" t="s">
        <v>57</v>
      </c>
      <c r="G6" s="107" t="s">
        <v>58</v>
      </c>
      <c r="H6" s="107" t="s">
        <v>59</v>
      </c>
      <c r="I6" s="107" t="s">
        <v>60</v>
      </c>
      <c r="K6" s="27">
        <v>0</v>
      </c>
      <c r="L6" s="28">
        <f t="shared" ref="L6:L10" si="0">I7</f>
        <v>37960.565900000001</v>
      </c>
      <c r="M6" s="28">
        <f t="shared" ref="M6:M10" si="1">SUM($L6:L$10)</f>
        <v>249472.12779999999</v>
      </c>
      <c r="N6" s="29">
        <f t="shared" ref="N6:N9" si="2">M7/M6</f>
        <v>0.84783644475733699</v>
      </c>
      <c r="O6" s="30" t="s">
        <v>61</v>
      </c>
      <c r="P6" s="59">
        <f>N6+N6*N7+N6*N7*N8+N6*N7*N8*N9</f>
        <v>2.1975467850240546</v>
      </c>
      <c r="Q6" s="10" t="s">
        <v>49</v>
      </c>
      <c r="S6" s="10" t="s">
        <v>54</v>
      </c>
      <c r="T6" s="10" t="s">
        <v>55</v>
      </c>
      <c r="U6" s="10" t="s">
        <v>56</v>
      </c>
      <c r="V6" s="10" t="s">
        <v>57</v>
      </c>
      <c r="W6" s="10" t="s">
        <v>58</v>
      </c>
      <c r="X6" s="10" t="s">
        <v>59</v>
      </c>
      <c r="Y6" s="10" t="s">
        <v>60</v>
      </c>
      <c r="AA6" s="27">
        <v>0</v>
      </c>
      <c r="AB6" s="28">
        <f t="shared" ref="AB6:AB10" si="3">Y7</f>
        <v>64049.11</v>
      </c>
      <c r="AC6" s="28">
        <f t="shared" ref="AC6:AC10" si="4">SUM($AB6:AB$10)</f>
        <v>405195.35</v>
      </c>
      <c r="AD6" s="29">
        <f t="shared" ref="AD6:AD9" si="5">AC7/AC6</f>
        <v>0.84193029362256999</v>
      </c>
      <c r="AE6" s="30" t="s">
        <v>61</v>
      </c>
      <c r="AF6" s="59">
        <f>AD6+AD6*AD7+AD6*AD7*AD8+AD6*AD7*AD8*AD9</f>
        <v>1.8526501352989366</v>
      </c>
      <c r="AI6" s="56"/>
      <c r="AJ6" s="56"/>
      <c r="AK6" s="56"/>
      <c r="AL6" s="56"/>
      <c r="AM6" s="56"/>
      <c r="AN6" s="56"/>
      <c r="AO6" s="56"/>
    </row>
    <row r="7" spans="1:41" x14ac:dyDescent="0.2">
      <c r="A7" s="18"/>
      <c r="B7" s="107">
        <v>0</v>
      </c>
      <c r="C7" s="108">
        <v>41345.272799999999</v>
      </c>
      <c r="D7" s="108">
        <v>114488.4918</v>
      </c>
      <c r="E7" s="108">
        <v>112067.0616</v>
      </c>
      <c r="F7" s="108">
        <v>83577.634900000005</v>
      </c>
      <c r="G7" s="108">
        <v>63920.477299999999</v>
      </c>
      <c r="H7" s="108">
        <v>47758.979299999999</v>
      </c>
      <c r="I7" s="108">
        <v>37960.565900000001</v>
      </c>
      <c r="K7" s="27">
        <v>1</v>
      </c>
      <c r="L7" s="28">
        <f t="shared" si="0"/>
        <v>32058.059700000002</v>
      </c>
      <c r="M7" s="28">
        <f t="shared" si="1"/>
        <v>211511.5619</v>
      </c>
      <c r="N7" s="29">
        <f t="shared" si="2"/>
        <v>0.84843353520713605</v>
      </c>
      <c r="O7" s="30" t="s">
        <v>62</v>
      </c>
      <c r="R7" s="10">
        <v>0</v>
      </c>
      <c r="S7" s="56">
        <v>11624.63</v>
      </c>
      <c r="T7" s="56">
        <v>91917.41</v>
      </c>
      <c r="U7" s="56">
        <v>155555.29999999999</v>
      </c>
      <c r="V7" s="56">
        <v>120959.1</v>
      </c>
      <c r="W7" s="56">
        <v>79087.210000000006</v>
      </c>
      <c r="X7" s="56">
        <v>69620.960000000006</v>
      </c>
      <c r="Y7" s="56">
        <v>64049.11</v>
      </c>
      <c r="AA7" s="27">
        <v>1</v>
      </c>
      <c r="AB7" s="28">
        <f t="shared" si="3"/>
        <v>75909.17</v>
      </c>
      <c r="AC7" s="28">
        <f t="shared" si="4"/>
        <v>341146.24</v>
      </c>
      <c r="AD7" s="29">
        <f t="shared" si="5"/>
        <v>0.77748788906481847</v>
      </c>
      <c r="AE7" s="30" t="s">
        <v>62</v>
      </c>
      <c r="AI7" s="56"/>
      <c r="AJ7" s="56"/>
      <c r="AK7" s="56"/>
      <c r="AL7" s="56"/>
      <c r="AM7" s="56"/>
      <c r="AN7" s="56"/>
      <c r="AO7" s="56"/>
    </row>
    <row r="8" spans="1:41" x14ac:dyDescent="0.2">
      <c r="A8" s="18"/>
      <c r="B8" s="107">
        <v>1</v>
      </c>
      <c r="C8" s="108">
        <v>3898.1178</v>
      </c>
      <c r="D8" s="108">
        <v>37640.275099999999</v>
      </c>
      <c r="E8" s="108">
        <v>65793.538700000005</v>
      </c>
      <c r="F8" s="108">
        <v>76978.840700000001</v>
      </c>
      <c r="G8" s="108">
        <v>66682.116099999999</v>
      </c>
      <c r="H8" s="108">
        <v>49192.592400000001</v>
      </c>
      <c r="I8" s="108">
        <v>32058.059700000002</v>
      </c>
      <c r="K8" s="27">
        <v>2</v>
      </c>
      <c r="L8" s="28">
        <f t="shared" si="0"/>
        <v>71446.3799</v>
      </c>
      <c r="M8" s="28">
        <f t="shared" si="1"/>
        <v>179453.50219999999</v>
      </c>
      <c r="N8" s="29">
        <f t="shared" si="2"/>
        <v>0.6018668957467691</v>
      </c>
      <c r="O8" s="30" t="s">
        <v>63</v>
      </c>
      <c r="R8" s="10">
        <v>1</v>
      </c>
      <c r="S8" s="56">
        <v>972.50699999999995</v>
      </c>
      <c r="T8" s="56">
        <v>21823.17</v>
      </c>
      <c r="U8" s="56">
        <v>74569.97</v>
      </c>
      <c r="V8" s="56">
        <v>113349.4</v>
      </c>
      <c r="W8" s="56">
        <v>100247</v>
      </c>
      <c r="X8" s="56">
        <v>87833.32</v>
      </c>
      <c r="Y8" s="56">
        <v>75909.17</v>
      </c>
      <c r="AA8" s="27">
        <v>2</v>
      </c>
      <c r="AB8" s="28">
        <f t="shared" si="3"/>
        <v>155079.5</v>
      </c>
      <c r="AC8" s="28">
        <f t="shared" si="4"/>
        <v>265237.06999999995</v>
      </c>
      <c r="AD8" s="29">
        <f t="shared" si="5"/>
        <v>0.41531739888394942</v>
      </c>
      <c r="AE8" s="30" t="s">
        <v>63</v>
      </c>
      <c r="AI8" s="56"/>
      <c r="AJ8" s="56"/>
      <c r="AK8" s="56"/>
      <c r="AL8" s="56"/>
      <c r="AM8" s="56"/>
      <c r="AN8" s="56"/>
      <c r="AO8" s="56"/>
    </row>
    <row r="9" spans="1:41" x14ac:dyDescent="0.2">
      <c r="A9" s="18"/>
      <c r="B9" s="107">
        <v>2</v>
      </c>
      <c r="C9" s="108">
        <v>547.82820000000004</v>
      </c>
      <c r="D9" s="108">
        <v>12206.9174</v>
      </c>
      <c r="E9" s="108">
        <v>42862.476199999997</v>
      </c>
      <c r="F9" s="108">
        <v>91601.849700000006</v>
      </c>
      <c r="G9" s="108">
        <v>119652.0876</v>
      </c>
      <c r="H9" s="108">
        <v>102898.1526</v>
      </c>
      <c r="I9" s="108">
        <v>71446.3799</v>
      </c>
      <c r="K9" s="27">
        <v>3</v>
      </c>
      <c r="L9" s="28">
        <f t="shared" si="0"/>
        <v>58752.636299999998</v>
      </c>
      <c r="M9" s="28">
        <f t="shared" si="1"/>
        <v>108007.12229999999</v>
      </c>
      <c r="N9" s="29">
        <f t="shared" si="2"/>
        <v>0.45602998164501601</v>
      </c>
      <c r="O9" s="32" t="s">
        <v>64</v>
      </c>
      <c r="R9" s="10">
        <v>2</v>
      </c>
      <c r="S9" s="56">
        <v>114.3296</v>
      </c>
      <c r="T9" s="56">
        <v>5488.8059999999996</v>
      </c>
      <c r="U9" s="56">
        <v>32964.410000000003</v>
      </c>
      <c r="V9" s="56">
        <v>85835.65</v>
      </c>
      <c r="W9" s="56">
        <v>127981.2</v>
      </c>
      <c r="X9" s="56">
        <v>151986.70000000001</v>
      </c>
      <c r="Y9" s="56">
        <v>155079.5</v>
      </c>
      <c r="AA9" s="27">
        <v>3</v>
      </c>
      <c r="AB9" s="28">
        <f t="shared" si="3"/>
        <v>76013.23</v>
      </c>
      <c r="AC9" s="28">
        <f t="shared" si="4"/>
        <v>110157.56999999999</v>
      </c>
      <c r="AD9" s="29">
        <f t="shared" si="5"/>
        <v>0.30995908860371557</v>
      </c>
      <c r="AE9" s="32" t="s">
        <v>64</v>
      </c>
      <c r="AI9" s="56"/>
      <c r="AJ9" s="56"/>
      <c r="AK9" s="56"/>
      <c r="AL9" s="56"/>
      <c r="AM9" s="56"/>
      <c r="AN9" s="56"/>
      <c r="AO9" s="56"/>
    </row>
    <row r="10" spans="1:41" x14ac:dyDescent="0.2">
      <c r="A10" s="18"/>
      <c r="B10" s="107">
        <v>3</v>
      </c>
      <c r="C10" s="108">
        <v>131.40520000000001</v>
      </c>
      <c r="D10" s="108">
        <v>3445.3238999999999</v>
      </c>
      <c r="E10" s="108">
        <v>14989.697399999999</v>
      </c>
      <c r="F10" s="108">
        <v>38070.5409</v>
      </c>
      <c r="G10" s="108">
        <v>59997.878199999999</v>
      </c>
      <c r="H10" s="108">
        <v>68921.451799999995</v>
      </c>
      <c r="I10" s="108">
        <v>58752.636299999998</v>
      </c>
      <c r="K10" s="27" t="s">
        <v>64</v>
      </c>
      <c r="L10" s="28">
        <f t="shared" si="0"/>
        <v>49254.485999999997</v>
      </c>
      <c r="M10" s="28">
        <f t="shared" si="1"/>
        <v>49254.485999999997</v>
      </c>
      <c r="N10" s="33" t="s">
        <v>65</v>
      </c>
      <c r="O10" s="32"/>
      <c r="R10" s="10">
        <v>3</v>
      </c>
      <c r="S10" s="56">
        <v>13.69486</v>
      </c>
      <c r="T10" s="56">
        <v>1052.53</v>
      </c>
      <c r="U10" s="56">
        <v>8863.7939999999999</v>
      </c>
      <c r="V10" s="56">
        <v>28401.08</v>
      </c>
      <c r="W10" s="56">
        <v>47620.98</v>
      </c>
      <c r="X10" s="56">
        <v>64874.28</v>
      </c>
      <c r="Y10" s="56">
        <v>76013.23</v>
      </c>
      <c r="AA10" s="27" t="s">
        <v>64</v>
      </c>
      <c r="AB10" s="28">
        <f t="shared" si="3"/>
        <v>34144.339999999997</v>
      </c>
      <c r="AC10" s="28">
        <f t="shared" si="4"/>
        <v>34144.339999999997</v>
      </c>
      <c r="AD10" s="33" t="s">
        <v>65</v>
      </c>
      <c r="AE10" s="32"/>
    </row>
    <row r="11" spans="1:41" x14ac:dyDescent="0.2">
      <c r="A11" s="18"/>
      <c r="B11" s="107" t="s">
        <v>64</v>
      </c>
      <c r="C11" s="108">
        <v>40.089799999999997</v>
      </c>
      <c r="D11" s="108">
        <v>1144.7147</v>
      </c>
      <c r="E11" s="108">
        <v>6011.6601000000001</v>
      </c>
      <c r="F11" s="108">
        <v>17025.994699999999</v>
      </c>
      <c r="G11" s="108">
        <v>32178.515899999999</v>
      </c>
      <c r="H11" s="108">
        <v>45155.811800000003</v>
      </c>
      <c r="I11" s="108">
        <v>49254.485999999997</v>
      </c>
      <c r="R11" s="10" t="s">
        <v>64</v>
      </c>
      <c r="S11" s="56">
        <v>4.9216470000000001</v>
      </c>
      <c r="T11" s="56">
        <v>284.88069999999999</v>
      </c>
      <c r="U11" s="56">
        <v>2596.864</v>
      </c>
      <c r="V11" s="56">
        <v>9683.4639999999999</v>
      </c>
      <c r="W11" s="56">
        <v>16107.39</v>
      </c>
      <c r="X11" s="56">
        <v>25803.919999999998</v>
      </c>
      <c r="Y11" s="56">
        <v>34144.339999999997</v>
      </c>
    </row>
    <row r="12" spans="1:41" x14ac:dyDescent="0.2">
      <c r="A12" s="18"/>
      <c r="B12" s="107"/>
      <c r="C12" s="108"/>
      <c r="D12" s="108"/>
      <c r="E12" s="108"/>
      <c r="F12" s="108"/>
      <c r="G12" s="108"/>
      <c r="H12" s="108"/>
      <c r="I12" s="108"/>
      <c r="R12" s="10"/>
      <c r="S12" s="56"/>
      <c r="T12" s="56"/>
      <c r="U12" s="56"/>
      <c r="V12" s="56"/>
      <c r="W12" s="56"/>
      <c r="X12" s="56"/>
      <c r="Y12" s="56"/>
    </row>
    <row r="13" spans="1:41" s="73" customFormat="1" x14ac:dyDescent="0.2">
      <c r="B13" s="105"/>
      <c r="C13" s="106"/>
      <c r="D13" s="106"/>
      <c r="E13" s="106"/>
      <c r="F13" s="106"/>
      <c r="G13" s="106"/>
      <c r="H13" s="106"/>
      <c r="I13" s="106"/>
      <c r="R13" s="105"/>
      <c r="S13" s="106"/>
      <c r="T13" s="106"/>
      <c r="U13" s="106"/>
      <c r="V13" s="106"/>
      <c r="W13" s="106"/>
      <c r="X13" s="106"/>
      <c r="Y13" s="106"/>
    </row>
    <row r="14" spans="1:41" x14ac:dyDescent="0.2">
      <c r="A14" s="18"/>
      <c r="B14" s="107"/>
      <c r="C14" s="108"/>
      <c r="D14" s="108"/>
      <c r="E14" s="108"/>
      <c r="F14" s="108"/>
      <c r="G14" s="108"/>
      <c r="H14" s="108"/>
      <c r="I14" s="108"/>
      <c r="R14" s="10"/>
      <c r="S14" s="56"/>
      <c r="T14" s="56"/>
      <c r="U14" s="56"/>
      <c r="V14" s="56"/>
      <c r="W14" s="56"/>
      <c r="X14" s="56"/>
      <c r="Y14" s="56"/>
    </row>
    <row r="15" spans="1:41" x14ac:dyDescent="0.2">
      <c r="A15" s="18" t="s">
        <v>42</v>
      </c>
      <c r="B15" s="107" t="s">
        <v>231</v>
      </c>
      <c r="C15" s="108" t="s">
        <v>44</v>
      </c>
      <c r="D15" s="108" t="s">
        <v>45</v>
      </c>
      <c r="E15" s="108" t="s">
        <v>84</v>
      </c>
      <c r="F15" s="108"/>
      <c r="G15" s="108"/>
      <c r="H15" s="108"/>
      <c r="I15" s="108"/>
      <c r="Q15" s="1" t="s">
        <v>42</v>
      </c>
      <c r="R15" s="10" t="s">
        <v>231</v>
      </c>
      <c r="S15" s="56" t="s">
        <v>44</v>
      </c>
      <c r="T15" s="56" t="s">
        <v>45</v>
      </c>
      <c r="U15" s="56" t="s">
        <v>84</v>
      </c>
      <c r="V15" s="56"/>
      <c r="W15" s="56"/>
      <c r="X15" s="56"/>
      <c r="Y15" s="56"/>
    </row>
    <row r="16" spans="1:41" x14ac:dyDescent="0.2">
      <c r="A16" s="18" t="s">
        <v>47</v>
      </c>
      <c r="B16" s="107" t="s">
        <v>47</v>
      </c>
      <c r="C16" s="108" t="s">
        <v>201</v>
      </c>
      <c r="D16" s="108" t="s">
        <v>45</v>
      </c>
      <c r="E16" s="108" t="s">
        <v>202</v>
      </c>
      <c r="F16" s="108"/>
      <c r="G16" s="108"/>
      <c r="H16" s="108"/>
      <c r="I16" s="108"/>
      <c r="Q16" s="1" t="s">
        <v>47</v>
      </c>
      <c r="R16" s="10" t="s">
        <v>47</v>
      </c>
      <c r="S16" s="56" t="s">
        <v>201</v>
      </c>
      <c r="T16" s="56" t="s">
        <v>45</v>
      </c>
      <c r="U16" s="56" t="s">
        <v>202</v>
      </c>
      <c r="V16" s="56"/>
      <c r="W16" s="56"/>
      <c r="X16" s="56"/>
      <c r="Y16" s="56"/>
    </row>
    <row r="17" spans="1:32" x14ac:dyDescent="0.2">
      <c r="A17" s="18"/>
      <c r="B17" s="107"/>
      <c r="C17" s="108"/>
      <c r="D17" s="108"/>
      <c r="E17" s="108"/>
      <c r="F17" s="108"/>
      <c r="G17" s="108"/>
      <c r="H17" s="108"/>
      <c r="I17" s="108"/>
      <c r="K17" s="175" t="str">
        <f>E16</f>
        <v>Desocupadas</v>
      </c>
      <c r="L17" s="176"/>
      <c r="M17" s="176"/>
      <c r="N17" s="176"/>
      <c r="O17" s="177"/>
      <c r="R17" s="10"/>
      <c r="S17" s="56"/>
      <c r="T17" s="56"/>
      <c r="U17" s="56"/>
      <c r="V17" s="56"/>
      <c r="W17" s="56"/>
      <c r="X17" s="56"/>
      <c r="Y17" s="56"/>
    </row>
    <row r="18" spans="1:32" ht="96" x14ac:dyDescent="0.2">
      <c r="A18" s="18"/>
      <c r="B18" s="107" t="s">
        <v>48</v>
      </c>
      <c r="C18" s="108"/>
      <c r="D18" s="108"/>
      <c r="E18" s="108"/>
      <c r="F18" s="108"/>
      <c r="G18" s="108"/>
      <c r="H18" s="108"/>
      <c r="I18" s="108"/>
      <c r="K18" s="25" t="s">
        <v>49</v>
      </c>
      <c r="L18" s="26" t="s">
        <v>50</v>
      </c>
      <c r="M18" s="26" t="s">
        <v>51</v>
      </c>
      <c r="N18" s="26" t="s">
        <v>52</v>
      </c>
      <c r="O18" s="25" t="s">
        <v>53</v>
      </c>
      <c r="R18" s="10" t="s">
        <v>48</v>
      </c>
      <c r="S18" s="56"/>
      <c r="T18" s="56"/>
      <c r="U18" s="56"/>
      <c r="V18" s="56"/>
      <c r="W18" s="56"/>
      <c r="X18" s="56"/>
      <c r="Y18" s="56"/>
    </row>
    <row r="19" spans="1:32" ht="96" x14ac:dyDescent="0.2">
      <c r="A19" s="18" t="s">
        <v>49</v>
      </c>
      <c r="C19" s="107" t="s">
        <v>54</v>
      </c>
      <c r="D19" s="108" t="s">
        <v>55</v>
      </c>
      <c r="E19" s="108" t="s">
        <v>56</v>
      </c>
      <c r="F19" s="108" t="s">
        <v>57</v>
      </c>
      <c r="G19" s="108" t="s">
        <v>58</v>
      </c>
      <c r="H19" s="108" t="s">
        <v>59</v>
      </c>
      <c r="I19" s="108" t="s">
        <v>60</v>
      </c>
      <c r="K19" s="27">
        <v>0</v>
      </c>
      <c r="L19" s="28">
        <f>I20</f>
        <v>195949.041</v>
      </c>
      <c r="M19" s="28">
        <f>SUM($L19:L$23)</f>
        <v>2329581.3370000003</v>
      </c>
      <c r="N19" s="29">
        <f t="shared" ref="N19:N22" si="6">M20/M19</f>
        <v>0.91588658533282186</v>
      </c>
      <c r="O19" s="30" t="s">
        <v>61</v>
      </c>
      <c r="P19" s="59">
        <f>N19+N19*N20+N19*N20*N21+N19*N20*N21*N22</f>
        <v>2.7640440021262065</v>
      </c>
      <c r="Q19" s="1" t="s">
        <v>49</v>
      </c>
      <c r="R19" s="10" t="s">
        <v>54</v>
      </c>
      <c r="S19" s="56" t="s">
        <v>55</v>
      </c>
      <c r="T19" s="56" t="s">
        <v>56</v>
      </c>
      <c r="U19" s="56" t="s">
        <v>57</v>
      </c>
      <c r="V19" s="56" t="s">
        <v>58</v>
      </c>
      <c r="W19" s="56" t="s">
        <v>59</v>
      </c>
      <c r="X19" s="56" t="s">
        <v>60</v>
      </c>
      <c r="Y19" s="56"/>
      <c r="AA19" s="25" t="s">
        <v>49</v>
      </c>
      <c r="AB19" s="26" t="s">
        <v>50</v>
      </c>
      <c r="AC19" s="26" t="s">
        <v>51</v>
      </c>
      <c r="AD19" s="26" t="s">
        <v>52</v>
      </c>
      <c r="AE19" s="25" t="s">
        <v>53</v>
      </c>
    </row>
    <row r="20" spans="1:32" x14ac:dyDescent="0.2">
      <c r="A20" s="18"/>
      <c r="B20" s="107">
        <v>0</v>
      </c>
      <c r="C20" s="108">
        <v>5671376.5060000001</v>
      </c>
      <c r="D20" s="108">
        <v>1920175.513</v>
      </c>
      <c r="E20" s="108">
        <v>716129.76199999999</v>
      </c>
      <c r="F20" s="108">
        <v>385733.62</v>
      </c>
      <c r="G20" s="108">
        <v>272974.16100000002</v>
      </c>
      <c r="H20" s="108">
        <v>215204.88800000001</v>
      </c>
      <c r="I20" s="108">
        <v>195949.041</v>
      </c>
      <c r="K20" s="27">
        <v>1</v>
      </c>
      <c r="L20" s="28">
        <f t="shared" ref="L20:L22" si="7">I21</f>
        <v>200851.97700000001</v>
      </c>
      <c r="M20" s="28">
        <f>SUM($L20:L$23)</f>
        <v>2133632.2960000001</v>
      </c>
      <c r="N20" s="29">
        <f t="shared" si="6"/>
        <v>0.90586382790673681</v>
      </c>
      <c r="O20" s="30" t="s">
        <v>62</v>
      </c>
      <c r="R20" s="10">
        <v>0</v>
      </c>
      <c r="S20" s="56">
        <v>5525438.5971999997</v>
      </c>
      <c r="T20" s="56">
        <v>2159788.7108999998</v>
      </c>
      <c r="U20" s="56">
        <v>988402.38740000001</v>
      </c>
      <c r="V20" s="56">
        <v>533687.48140000005</v>
      </c>
      <c r="W20" s="56">
        <v>354467.66749999998</v>
      </c>
      <c r="X20" s="56">
        <v>309091.25750000001</v>
      </c>
      <c r="Y20" s="56">
        <v>290588.74060000002</v>
      </c>
      <c r="AA20" s="27">
        <v>0</v>
      </c>
      <c r="AB20" s="28">
        <f>Y20</f>
        <v>290588.74060000002</v>
      </c>
      <c r="AC20" s="28">
        <f>SUM($AB20:AB$24)</f>
        <v>2430425.1114999996</v>
      </c>
      <c r="AD20" s="29">
        <f t="shared" ref="AD20:AD23" si="8">AC21/AC20</f>
        <v>0.88043707282934736</v>
      </c>
      <c r="AE20" s="30" t="s">
        <v>61</v>
      </c>
      <c r="AF20" s="59">
        <f>AD20+AD20*AD21+AD20*AD21*AD22+AD20*AD21*AD22*AD23</f>
        <v>2.3775993047296984</v>
      </c>
    </row>
    <row r="21" spans="1:32" x14ac:dyDescent="0.2">
      <c r="A21" s="18"/>
      <c r="B21" s="107">
        <v>1</v>
      </c>
      <c r="C21" s="108">
        <v>823093.69200000004</v>
      </c>
      <c r="D21" s="108">
        <v>1307285.639</v>
      </c>
      <c r="E21" s="108">
        <v>898785.41099999996</v>
      </c>
      <c r="F21" s="108">
        <v>560489.44400000002</v>
      </c>
      <c r="G21" s="108">
        <v>364607.261</v>
      </c>
      <c r="H21" s="108">
        <v>246231.56</v>
      </c>
      <c r="I21" s="108">
        <v>200851.97700000001</v>
      </c>
      <c r="K21" s="27">
        <v>2</v>
      </c>
      <c r="L21" s="28">
        <f t="shared" si="7"/>
        <v>494077.57900000003</v>
      </c>
      <c r="M21" s="28">
        <f>SUM($L21:L$23)</f>
        <v>1932780.3189999999</v>
      </c>
      <c r="N21" s="29">
        <f t="shared" si="6"/>
        <v>0.74436951052169731</v>
      </c>
      <c r="O21" s="30" t="s">
        <v>63</v>
      </c>
      <c r="R21" s="10">
        <v>1</v>
      </c>
      <c r="S21" s="56">
        <v>622807.89939999999</v>
      </c>
      <c r="T21" s="56">
        <v>1147398.4354000001</v>
      </c>
      <c r="U21" s="56">
        <v>959343.8358</v>
      </c>
      <c r="V21" s="56">
        <v>655321.69629999995</v>
      </c>
      <c r="W21" s="56">
        <v>444132.1937</v>
      </c>
      <c r="X21" s="56">
        <v>344142.5552</v>
      </c>
      <c r="Y21" s="56">
        <v>295327.23109999998</v>
      </c>
      <c r="AA21" s="27">
        <v>1</v>
      </c>
      <c r="AB21" s="28">
        <f t="shared" ref="AB21:AB23" si="9">Y21</f>
        <v>295327.23109999998</v>
      </c>
      <c r="AC21" s="28">
        <f>SUM($AB21:AB$24)</f>
        <v>2139836.3709</v>
      </c>
      <c r="AD21" s="29">
        <f t="shared" si="8"/>
        <v>0.86198606813296319</v>
      </c>
      <c r="AE21" s="30" t="s">
        <v>62</v>
      </c>
    </row>
    <row r="22" spans="1:32" x14ac:dyDescent="0.2">
      <c r="A22" s="18"/>
      <c r="B22" s="107">
        <v>2</v>
      </c>
      <c r="C22" s="108">
        <v>191265.08300000001</v>
      </c>
      <c r="D22" s="108">
        <v>790973.33400000003</v>
      </c>
      <c r="E22" s="108">
        <v>985676.57900000003</v>
      </c>
      <c r="F22" s="108">
        <v>991299.01399999997</v>
      </c>
      <c r="G22" s="108">
        <v>853253.71699999995</v>
      </c>
      <c r="H22" s="108">
        <v>640922.03399999999</v>
      </c>
      <c r="I22" s="108">
        <v>494077.57900000003</v>
      </c>
      <c r="K22" s="27">
        <v>3</v>
      </c>
      <c r="L22" s="28">
        <f t="shared" si="7"/>
        <v>504752.77299999999</v>
      </c>
      <c r="M22" s="28">
        <f>SUM($L22:L$23)</f>
        <v>1438702.74</v>
      </c>
      <c r="N22" s="29">
        <f t="shared" si="6"/>
        <v>0.6491611790493983</v>
      </c>
      <c r="O22" s="32" t="s">
        <v>64</v>
      </c>
      <c r="R22" s="10">
        <v>2</v>
      </c>
      <c r="S22" s="56">
        <v>107475.5589</v>
      </c>
      <c r="T22" s="56">
        <v>540819.79169999994</v>
      </c>
      <c r="U22" s="56">
        <v>802796.04709999997</v>
      </c>
      <c r="V22" s="56">
        <v>853477.48659999995</v>
      </c>
      <c r="W22" s="56">
        <v>790699.84369999997</v>
      </c>
      <c r="X22" s="56">
        <v>734573.15650000004</v>
      </c>
      <c r="Y22" s="56">
        <v>682961.14870000002</v>
      </c>
      <c r="AA22" s="27">
        <v>2</v>
      </c>
      <c r="AB22" s="28">
        <f t="shared" si="9"/>
        <v>682961.14870000002</v>
      </c>
      <c r="AC22" s="28">
        <f>SUM($AB22:AB$24)</f>
        <v>1844509.1398</v>
      </c>
      <c r="AD22" s="29">
        <f t="shared" si="8"/>
        <v>0.62973284655339068</v>
      </c>
      <c r="AE22" s="30" t="s">
        <v>63</v>
      </c>
    </row>
    <row r="23" spans="1:32" x14ac:dyDescent="0.2">
      <c r="A23" s="18"/>
      <c r="B23" s="107">
        <v>3</v>
      </c>
      <c r="C23" s="108">
        <v>33869.307999999997</v>
      </c>
      <c r="D23" s="108">
        <v>322390.07900000003</v>
      </c>
      <c r="E23" s="108">
        <v>547364.87399999995</v>
      </c>
      <c r="F23" s="108">
        <v>641495.41</v>
      </c>
      <c r="G23" s="108">
        <v>653607.03099999996</v>
      </c>
      <c r="H23" s="108">
        <v>581807.86899999995</v>
      </c>
      <c r="I23" s="108">
        <v>504752.77299999999</v>
      </c>
      <c r="K23" s="27" t="s">
        <v>64</v>
      </c>
      <c r="L23" s="28">
        <f>I24</f>
        <v>933949.96699999995</v>
      </c>
      <c r="M23" s="28">
        <f>SUM($L23:L$23)</f>
        <v>933949.96699999995</v>
      </c>
      <c r="N23" s="33" t="s">
        <v>65</v>
      </c>
      <c r="O23" s="32"/>
      <c r="R23" s="10">
        <v>3</v>
      </c>
      <c r="S23" s="56">
        <v>15483.771199999999</v>
      </c>
      <c r="T23" s="56">
        <v>182560.05910000001</v>
      </c>
      <c r="U23" s="56">
        <v>398112.34179999999</v>
      </c>
      <c r="V23" s="56">
        <v>499485.56189999997</v>
      </c>
      <c r="W23" s="56">
        <v>503835.44</v>
      </c>
      <c r="X23" s="56">
        <v>516560.09590000001</v>
      </c>
      <c r="Y23" s="56">
        <v>528864.43759999995</v>
      </c>
      <c r="AA23" s="27">
        <v>3</v>
      </c>
      <c r="AB23" s="28">
        <f t="shared" si="9"/>
        <v>528864.43759999995</v>
      </c>
      <c r="AC23" s="28">
        <f>SUM($AB23:AB$24)</f>
        <v>1161547.9911</v>
      </c>
      <c r="AD23" s="29">
        <f t="shared" si="8"/>
        <v>0.54468998125582491</v>
      </c>
      <c r="AE23" s="32" t="s">
        <v>64</v>
      </c>
    </row>
    <row r="24" spans="1:32" x14ac:dyDescent="0.2">
      <c r="A24" s="18"/>
      <c r="B24" s="107" t="s">
        <v>64</v>
      </c>
      <c r="C24" s="108">
        <v>7114.2479999999996</v>
      </c>
      <c r="D24" s="108">
        <v>135610.64499999999</v>
      </c>
      <c r="E24" s="108">
        <v>374840.46299999999</v>
      </c>
      <c r="F24" s="108">
        <v>582493.50100000005</v>
      </c>
      <c r="G24" s="108">
        <v>740176.22499999998</v>
      </c>
      <c r="H24" s="108">
        <v>850963.45299999998</v>
      </c>
      <c r="I24" s="108">
        <v>933949.96699999995</v>
      </c>
      <c r="R24" s="10" t="s">
        <v>64</v>
      </c>
      <c r="S24" s="56">
        <v>3321.8647000000001</v>
      </c>
      <c r="T24" s="56">
        <v>64009.541799999999</v>
      </c>
      <c r="U24" s="56">
        <v>236204.6428</v>
      </c>
      <c r="V24" s="56">
        <v>376672.97730000003</v>
      </c>
      <c r="W24" s="56">
        <v>444849.03950000001</v>
      </c>
      <c r="X24" s="56">
        <v>530304.38040000002</v>
      </c>
      <c r="Y24" s="56">
        <v>632683.55350000004</v>
      </c>
      <c r="AA24" s="27" t="s">
        <v>64</v>
      </c>
      <c r="AB24" s="28">
        <f>Y24</f>
        <v>632683.55350000004</v>
      </c>
      <c r="AC24" s="28">
        <f>SUM($AB24:AB$24)</f>
        <v>632683.55350000004</v>
      </c>
      <c r="AD24" s="33" t="s">
        <v>65</v>
      </c>
      <c r="AE24" s="32"/>
    </row>
    <row r="25" spans="1:32" x14ac:dyDescent="0.2">
      <c r="A25" s="18"/>
      <c r="B25" s="107"/>
      <c r="C25" s="108"/>
      <c r="D25" s="108"/>
      <c r="E25" s="108"/>
      <c r="F25" s="108"/>
      <c r="G25" s="108"/>
      <c r="H25" s="108"/>
      <c r="I25" s="108"/>
      <c r="R25" s="10"/>
      <c r="S25" s="56"/>
      <c r="T25" s="56"/>
      <c r="U25" s="56"/>
      <c r="V25" s="56"/>
      <c r="W25" s="56"/>
      <c r="X25" s="56"/>
      <c r="Y25" s="56"/>
    </row>
    <row r="26" spans="1:32" x14ac:dyDescent="0.2">
      <c r="A26" s="18" t="s">
        <v>47</v>
      </c>
      <c r="B26" s="107" t="s">
        <v>47</v>
      </c>
      <c r="C26" s="108" t="s">
        <v>201</v>
      </c>
      <c r="D26" s="108" t="s">
        <v>45</v>
      </c>
      <c r="E26" s="108" t="s">
        <v>203</v>
      </c>
      <c r="F26" s="108"/>
      <c r="G26" s="108"/>
      <c r="H26" s="108"/>
      <c r="I26" s="108"/>
      <c r="Q26" s="1" t="s">
        <v>47</v>
      </c>
      <c r="R26" s="10" t="s">
        <v>47</v>
      </c>
      <c r="S26" s="56" t="s">
        <v>201</v>
      </c>
      <c r="T26" s="56" t="s">
        <v>45</v>
      </c>
      <c r="U26" s="56" t="s">
        <v>203</v>
      </c>
      <c r="V26" s="56"/>
      <c r="W26" s="56"/>
      <c r="X26" s="56"/>
      <c r="Y26" s="56"/>
    </row>
    <row r="27" spans="1:32" x14ac:dyDescent="0.2">
      <c r="A27" s="18"/>
      <c r="B27" s="107"/>
      <c r="C27" s="108"/>
      <c r="D27" s="108"/>
      <c r="E27" s="108"/>
      <c r="F27" s="108"/>
      <c r="G27" s="108"/>
      <c r="H27" s="108"/>
      <c r="I27" s="108"/>
      <c r="K27" s="178" t="str">
        <f>E26</f>
        <v>Ocupadas</v>
      </c>
      <c r="L27" s="179"/>
      <c r="M27" s="179"/>
      <c r="N27" s="179"/>
      <c r="O27" s="180"/>
      <c r="R27" s="10"/>
      <c r="S27" s="56"/>
      <c r="T27" s="56"/>
      <c r="U27" s="56"/>
      <c r="V27" s="56"/>
      <c r="W27" s="56"/>
      <c r="X27" s="56"/>
      <c r="Y27" s="56"/>
    </row>
    <row r="28" spans="1:32" ht="96" x14ac:dyDescent="0.2">
      <c r="A28" s="18"/>
      <c r="B28" s="107" t="s">
        <v>48</v>
      </c>
      <c r="C28" s="108"/>
      <c r="D28" s="108"/>
      <c r="E28" s="108"/>
      <c r="F28" s="108"/>
      <c r="G28" s="108"/>
      <c r="H28" s="108"/>
      <c r="I28" s="108"/>
      <c r="K28" s="25" t="s">
        <v>49</v>
      </c>
      <c r="L28" s="26" t="s">
        <v>50</v>
      </c>
      <c r="M28" s="26" t="s">
        <v>51</v>
      </c>
      <c r="N28" s="26" t="s">
        <v>52</v>
      </c>
      <c r="O28" s="25" t="s">
        <v>53</v>
      </c>
      <c r="R28" s="10" t="s">
        <v>48</v>
      </c>
      <c r="S28" s="56"/>
      <c r="T28" s="56"/>
      <c r="U28" s="56"/>
      <c r="V28" s="56"/>
      <c r="W28" s="56"/>
      <c r="X28" s="56"/>
      <c r="Y28" s="56"/>
    </row>
    <row r="29" spans="1:32" ht="96" x14ac:dyDescent="0.2">
      <c r="A29" s="18" t="s">
        <v>49</v>
      </c>
      <c r="C29" s="107" t="s">
        <v>54</v>
      </c>
      <c r="D29" s="108" t="s">
        <v>55</v>
      </c>
      <c r="E29" s="108" t="s">
        <v>56</v>
      </c>
      <c r="F29" s="108" t="s">
        <v>57</v>
      </c>
      <c r="G29" s="108" t="s">
        <v>58</v>
      </c>
      <c r="H29" s="108" t="s">
        <v>59</v>
      </c>
      <c r="I29" s="108" t="s">
        <v>60</v>
      </c>
      <c r="K29" s="27">
        <v>0</v>
      </c>
      <c r="L29" s="28">
        <f>I30</f>
        <v>246970.76699999999</v>
      </c>
      <c r="M29" s="28">
        <f>SUM($L29:L$33)</f>
        <v>2180876.6689999998</v>
      </c>
      <c r="N29" s="126">
        <f t="shared" ref="N29:N32" si="10">M30/M29</f>
        <v>0.88675619739962486</v>
      </c>
      <c r="O29" s="30" t="s">
        <v>61</v>
      </c>
      <c r="P29" s="59">
        <f>N29+N29*N30+N29*N30*N31+N29*N30*N31*N32</f>
        <v>2.4967891886783264</v>
      </c>
      <c r="Q29" s="1" t="s">
        <v>49</v>
      </c>
      <c r="R29" s="10" t="s">
        <v>54</v>
      </c>
      <c r="S29" s="56" t="s">
        <v>55</v>
      </c>
      <c r="T29" s="56" t="s">
        <v>56</v>
      </c>
      <c r="U29" s="56" t="s">
        <v>57</v>
      </c>
      <c r="V29" s="56" t="s">
        <v>58</v>
      </c>
      <c r="W29" s="56" t="s">
        <v>59</v>
      </c>
      <c r="X29" s="56" t="s">
        <v>60</v>
      </c>
      <c r="Y29" s="56"/>
      <c r="AA29" s="25" t="s">
        <v>49</v>
      </c>
      <c r="AB29" s="26" t="s">
        <v>50</v>
      </c>
      <c r="AC29" s="26" t="s">
        <v>51</v>
      </c>
      <c r="AD29" s="26" t="s">
        <v>52</v>
      </c>
      <c r="AE29" s="25" t="s">
        <v>53</v>
      </c>
    </row>
    <row r="30" spans="1:32" x14ac:dyDescent="0.2">
      <c r="A30" s="18"/>
      <c r="B30" s="107">
        <v>0</v>
      </c>
      <c r="C30" s="108">
        <v>1932505.814</v>
      </c>
      <c r="D30" s="108">
        <v>2345583.4380000001</v>
      </c>
      <c r="E30" s="108">
        <v>1446708.2779999999</v>
      </c>
      <c r="F30" s="108">
        <v>822220.46</v>
      </c>
      <c r="G30" s="108">
        <v>522626.30599999998</v>
      </c>
      <c r="H30" s="108">
        <v>348257.33</v>
      </c>
      <c r="I30" s="108">
        <v>246970.76699999999</v>
      </c>
      <c r="K30" s="27">
        <v>1</v>
      </c>
      <c r="L30" s="28">
        <f t="shared" ref="L30:L32" si="11">I31</f>
        <v>246961.731</v>
      </c>
      <c r="M30" s="28">
        <f>SUM($L30:L$33)</f>
        <v>1933905.902</v>
      </c>
      <c r="N30" s="126">
        <f t="shared" si="10"/>
        <v>0.87229899306652003</v>
      </c>
      <c r="O30" s="30" t="s">
        <v>62</v>
      </c>
      <c r="R30" s="10">
        <v>0</v>
      </c>
      <c r="S30" s="56">
        <v>1907316.4214999999</v>
      </c>
      <c r="T30" s="56">
        <v>3068895.1384999999</v>
      </c>
      <c r="U30" s="56">
        <v>2457948.0331000001</v>
      </c>
      <c r="V30" s="56">
        <v>1396410.2997000001</v>
      </c>
      <c r="W30" s="56">
        <v>790505.96189999999</v>
      </c>
      <c r="X30" s="56">
        <v>588257.10829999996</v>
      </c>
      <c r="Y30" s="56">
        <v>468838.6973</v>
      </c>
      <c r="AA30" s="27">
        <v>0</v>
      </c>
      <c r="AB30" s="28">
        <f>Y30</f>
        <v>468838.6973</v>
      </c>
      <c r="AC30" s="28">
        <f>SUM($AB30:AB$34)</f>
        <v>3711499.7077000001</v>
      </c>
      <c r="AD30" s="126">
        <f t="shared" ref="AD30:AD33" si="12">AC31/AC30</f>
        <v>0.87367944652472107</v>
      </c>
      <c r="AE30" s="30" t="s">
        <v>61</v>
      </c>
      <c r="AF30" s="59">
        <f>AD30+AD30*AD31+AD30*AD31*AD32+AD30*AD31*AD32*AD33</f>
        <v>2.1443669447927949</v>
      </c>
    </row>
    <row r="31" spans="1:32" x14ac:dyDescent="0.2">
      <c r="A31" s="18"/>
      <c r="B31" s="107">
        <v>1</v>
      </c>
      <c r="C31" s="108">
        <v>213909.10500000001</v>
      </c>
      <c r="D31" s="108">
        <v>810523.78799999994</v>
      </c>
      <c r="E31" s="108">
        <v>950413.58299999998</v>
      </c>
      <c r="F31" s="108">
        <v>811363.01599999995</v>
      </c>
      <c r="G31" s="108">
        <v>589923.99899999995</v>
      </c>
      <c r="H31" s="108">
        <v>388882.81800000003</v>
      </c>
      <c r="I31" s="108">
        <v>246961.731</v>
      </c>
      <c r="K31" s="27">
        <v>2</v>
      </c>
      <c r="L31" s="28">
        <f t="shared" si="11"/>
        <v>534985.44799999997</v>
      </c>
      <c r="M31" s="28">
        <f>SUM($L31:L$33)</f>
        <v>1686944.1710000001</v>
      </c>
      <c r="N31" s="126">
        <f t="shared" si="10"/>
        <v>0.68286712909837011</v>
      </c>
      <c r="O31" s="30" t="s">
        <v>63</v>
      </c>
      <c r="R31" s="10">
        <v>1</v>
      </c>
      <c r="S31" s="56">
        <v>210332.64449999999</v>
      </c>
      <c r="T31" s="56">
        <v>1016922.2306</v>
      </c>
      <c r="U31" s="56">
        <v>1516732.2736</v>
      </c>
      <c r="V31" s="56">
        <v>1449193.9095000001</v>
      </c>
      <c r="W31" s="56">
        <v>1071511.0092</v>
      </c>
      <c r="X31" s="56">
        <v>806684.25950000004</v>
      </c>
      <c r="Y31" s="56">
        <v>593213.0281</v>
      </c>
      <c r="AA31" s="27">
        <v>1</v>
      </c>
      <c r="AB31" s="28">
        <f>Y31</f>
        <v>593213.0281</v>
      </c>
      <c r="AC31" s="28">
        <f>SUM($AB31:AB$34)</f>
        <v>3242661.0104</v>
      </c>
      <c r="AD31" s="126">
        <f t="shared" si="12"/>
        <v>0.8170598079178113</v>
      </c>
      <c r="AE31" s="30" t="s">
        <v>62</v>
      </c>
    </row>
    <row r="32" spans="1:32" x14ac:dyDescent="0.2">
      <c r="A32" s="18"/>
      <c r="B32" s="107">
        <v>2</v>
      </c>
      <c r="C32" s="108">
        <v>40156.504999999997</v>
      </c>
      <c r="D32" s="108">
        <v>314054.06</v>
      </c>
      <c r="E32" s="108">
        <v>658819.81999999995</v>
      </c>
      <c r="F32" s="108">
        <v>975674.73300000001</v>
      </c>
      <c r="G32" s="108">
        <v>1057264.774</v>
      </c>
      <c r="H32" s="108">
        <v>827832.01899999997</v>
      </c>
      <c r="I32" s="108">
        <v>534985.44799999997</v>
      </c>
      <c r="K32" s="27">
        <v>3</v>
      </c>
      <c r="L32" s="28">
        <f t="shared" si="11"/>
        <v>479578.23</v>
      </c>
      <c r="M32" s="28">
        <f>SUM($L32:L$33)</f>
        <v>1151958.723</v>
      </c>
      <c r="N32" s="126">
        <f t="shared" si="10"/>
        <v>0.58368453623837002</v>
      </c>
      <c r="O32" s="32" t="s">
        <v>64</v>
      </c>
      <c r="R32" s="10">
        <v>2</v>
      </c>
      <c r="S32" s="56">
        <v>31596.011999999999</v>
      </c>
      <c r="T32" s="56">
        <v>319216.85749999998</v>
      </c>
      <c r="U32" s="56">
        <v>819842.22759999998</v>
      </c>
      <c r="V32" s="56">
        <v>1297623.9746999999</v>
      </c>
      <c r="W32" s="56">
        <v>1476652.9726</v>
      </c>
      <c r="X32" s="56">
        <v>1443171.8968</v>
      </c>
      <c r="Y32" s="56">
        <v>1227861.9071</v>
      </c>
      <c r="AA32" s="27">
        <v>2</v>
      </c>
      <c r="AB32" s="28">
        <f>Y32</f>
        <v>1227861.9071</v>
      </c>
      <c r="AC32" s="28">
        <f>SUM($AB32:AB$34)</f>
        <v>2649447.9822999998</v>
      </c>
      <c r="AD32" s="126">
        <f t="shared" si="12"/>
        <v>0.53655934545501571</v>
      </c>
      <c r="AE32" s="30" t="s">
        <v>63</v>
      </c>
    </row>
    <row r="33" spans="1:32" x14ac:dyDescent="0.2">
      <c r="A33" s="18"/>
      <c r="B33" s="107">
        <v>3</v>
      </c>
      <c r="C33" s="108">
        <v>6335.1030000000001</v>
      </c>
      <c r="D33" s="108">
        <v>105821.993</v>
      </c>
      <c r="E33" s="108">
        <v>288516.91800000001</v>
      </c>
      <c r="F33" s="108">
        <v>519886.31300000002</v>
      </c>
      <c r="G33" s="108">
        <v>671134.902</v>
      </c>
      <c r="H33" s="108">
        <v>644994.82999999996</v>
      </c>
      <c r="I33" s="108">
        <v>479578.23</v>
      </c>
      <c r="K33" s="27" t="s">
        <v>64</v>
      </c>
      <c r="L33" s="28">
        <f>I34</f>
        <v>672380.49300000002</v>
      </c>
      <c r="M33" s="28">
        <f>SUM($L$33:L33)</f>
        <v>672380.49300000002</v>
      </c>
      <c r="N33" s="127" t="s">
        <v>65</v>
      </c>
      <c r="O33" s="32"/>
      <c r="R33" s="10">
        <v>3</v>
      </c>
      <c r="S33" s="56">
        <v>4441.5460999999996</v>
      </c>
      <c r="T33" s="56">
        <v>86113.8606</v>
      </c>
      <c r="U33" s="56">
        <v>314087.1458</v>
      </c>
      <c r="V33" s="56">
        <v>604490.2548</v>
      </c>
      <c r="W33" s="56">
        <v>756002.54929999996</v>
      </c>
      <c r="X33" s="56">
        <v>818089.04929999996</v>
      </c>
      <c r="Y33" s="56">
        <v>776463.85430000001</v>
      </c>
      <c r="AA33" s="27">
        <v>3</v>
      </c>
      <c r="AB33" s="28">
        <f>Y33</f>
        <v>776463.85430000001</v>
      </c>
      <c r="AC33" s="28">
        <f>SUM($AB33:AB$34)</f>
        <v>1421586.0751999998</v>
      </c>
      <c r="AD33" s="126">
        <f t="shared" si="12"/>
        <v>0.45380454420196759</v>
      </c>
      <c r="AE33" s="32" t="s">
        <v>64</v>
      </c>
    </row>
    <row r="34" spans="1:32" x14ac:dyDescent="0.2">
      <c r="A34" s="18"/>
      <c r="B34" s="107" t="s">
        <v>64</v>
      </c>
      <c r="C34" s="108">
        <v>1669.4829999999999</v>
      </c>
      <c r="D34" s="108">
        <v>42057.04</v>
      </c>
      <c r="E34" s="108">
        <v>165936.701</v>
      </c>
      <c r="F34" s="108">
        <v>373861.53700000001</v>
      </c>
      <c r="G34" s="108">
        <v>579209.92599999998</v>
      </c>
      <c r="H34" s="108">
        <v>689012.19700000004</v>
      </c>
      <c r="I34" s="108">
        <v>672380.49300000002</v>
      </c>
      <c r="R34" s="10" t="s">
        <v>64</v>
      </c>
      <c r="S34" s="56">
        <v>965.63260000000002</v>
      </c>
      <c r="T34" s="56">
        <v>27473.903399999999</v>
      </c>
      <c r="U34" s="56">
        <v>150658.45850000001</v>
      </c>
      <c r="V34" s="56">
        <v>360171.7856</v>
      </c>
      <c r="W34" s="56">
        <v>488357.17930000002</v>
      </c>
      <c r="X34" s="56">
        <v>597651.59069999994</v>
      </c>
      <c r="Y34" s="56">
        <v>645122.22089999996</v>
      </c>
      <c r="AA34" s="27" t="s">
        <v>64</v>
      </c>
      <c r="AB34" s="28">
        <f>Y34</f>
        <v>645122.22089999996</v>
      </c>
      <c r="AC34" s="28">
        <f>SUM($AB$34:AB34)</f>
        <v>645122.22089999996</v>
      </c>
      <c r="AD34" s="127" t="s">
        <v>65</v>
      </c>
      <c r="AE34" s="32"/>
    </row>
    <row r="35" spans="1:32" x14ac:dyDescent="0.2">
      <c r="A35" s="18"/>
      <c r="B35" s="107"/>
      <c r="C35" s="108"/>
      <c r="D35" s="108"/>
      <c r="E35" s="108"/>
      <c r="F35" s="108"/>
      <c r="G35" s="108"/>
      <c r="H35" s="108"/>
      <c r="I35" s="108"/>
      <c r="R35" s="10"/>
      <c r="S35" s="56"/>
      <c r="T35" s="56"/>
      <c r="U35" s="56"/>
      <c r="V35" s="56"/>
      <c r="W35" s="56"/>
      <c r="X35" s="56"/>
      <c r="Y35" s="56"/>
    </row>
    <row r="36" spans="1:32" x14ac:dyDescent="0.2">
      <c r="A36" s="18"/>
      <c r="B36" s="107"/>
      <c r="C36" s="108"/>
      <c r="D36" s="108"/>
      <c r="E36" s="108"/>
      <c r="F36" s="108"/>
      <c r="G36" s="108"/>
      <c r="H36" s="108"/>
      <c r="I36" s="108"/>
      <c r="R36" s="10"/>
      <c r="S36" s="56"/>
      <c r="T36" s="56"/>
      <c r="U36" s="56"/>
      <c r="V36" s="56"/>
      <c r="W36" s="56"/>
      <c r="X36" s="56"/>
      <c r="Y36" s="56"/>
    </row>
    <row r="37" spans="1:32" x14ac:dyDescent="0.2">
      <c r="A37" s="18"/>
      <c r="B37" s="107"/>
      <c r="C37" s="108"/>
      <c r="D37" s="108"/>
      <c r="E37" s="108"/>
      <c r="F37" s="108"/>
      <c r="G37" s="108"/>
      <c r="H37" s="108"/>
      <c r="I37" s="108"/>
      <c r="R37" s="10"/>
      <c r="S37" s="56"/>
      <c r="T37" s="56"/>
      <c r="U37" s="56"/>
      <c r="V37" s="56"/>
      <c r="W37" s="56"/>
      <c r="X37" s="56"/>
      <c r="Y37" s="56"/>
    </row>
    <row r="38" spans="1:32" x14ac:dyDescent="0.2">
      <c r="A38" s="18"/>
      <c r="B38" s="107"/>
      <c r="C38" s="108"/>
      <c r="D38" s="108"/>
      <c r="E38" s="108"/>
      <c r="F38" s="108"/>
      <c r="G38" s="108"/>
      <c r="H38" s="108"/>
      <c r="I38" s="108"/>
      <c r="R38" s="10"/>
      <c r="S38" s="56"/>
      <c r="T38" s="56"/>
      <c r="U38" s="56"/>
      <c r="V38" s="56"/>
      <c r="W38" s="56"/>
      <c r="X38" s="56"/>
      <c r="Y38" s="56"/>
    </row>
    <row r="39" spans="1:32" x14ac:dyDescent="0.2">
      <c r="A39" s="18"/>
      <c r="B39" s="107"/>
      <c r="C39" s="108"/>
      <c r="D39" s="108"/>
      <c r="E39" s="108"/>
      <c r="F39" s="108"/>
      <c r="G39" s="108"/>
      <c r="H39" s="108"/>
      <c r="I39" s="108"/>
      <c r="R39" s="10"/>
      <c r="S39" s="56"/>
      <c r="T39" s="56"/>
      <c r="U39" s="56"/>
      <c r="V39" s="56"/>
      <c r="W39" s="56"/>
      <c r="X39" s="56"/>
      <c r="Y39" s="56"/>
    </row>
    <row r="40" spans="1:32" s="73" customFormat="1" x14ac:dyDescent="0.2">
      <c r="B40" s="105"/>
      <c r="C40" s="106"/>
      <c r="D40" s="106"/>
      <c r="E40" s="106"/>
      <c r="F40" s="106"/>
      <c r="G40" s="106"/>
      <c r="H40" s="106"/>
      <c r="I40" s="106"/>
      <c r="R40" s="105"/>
      <c r="S40" s="106"/>
      <c r="T40" s="106"/>
      <c r="U40" s="106"/>
      <c r="V40" s="106"/>
      <c r="W40" s="106"/>
      <c r="X40" s="106"/>
      <c r="Y40" s="106"/>
    </row>
    <row r="41" spans="1:32" x14ac:dyDescent="0.2">
      <c r="A41" s="10" t="s">
        <v>42</v>
      </c>
      <c r="B41" s="10" t="s">
        <v>198</v>
      </c>
      <c r="C41" s="10" t="s">
        <v>44</v>
      </c>
      <c r="D41" s="10" t="s">
        <v>45</v>
      </c>
      <c r="E41" s="10" t="s">
        <v>46</v>
      </c>
      <c r="Q41" s="10" t="s">
        <v>42</v>
      </c>
      <c r="R41" s="10" t="s">
        <v>198</v>
      </c>
      <c r="S41" s="10" t="s">
        <v>44</v>
      </c>
      <c r="T41" s="10" t="s">
        <v>45</v>
      </c>
      <c r="U41" s="10" t="s">
        <v>46</v>
      </c>
    </row>
    <row r="42" spans="1:32" x14ac:dyDescent="0.2">
      <c r="A42" s="10" t="s">
        <v>47</v>
      </c>
      <c r="B42" s="10" t="s">
        <v>47</v>
      </c>
      <c r="C42" s="10" t="s">
        <v>174</v>
      </c>
      <c r="D42" s="10" t="s">
        <v>45</v>
      </c>
      <c r="E42" s="10" t="s">
        <v>175</v>
      </c>
      <c r="Q42" s="10" t="s">
        <v>47</v>
      </c>
      <c r="R42" s="10" t="s">
        <v>47</v>
      </c>
      <c r="S42" s="10" t="s">
        <v>174</v>
      </c>
      <c r="T42" s="10" t="s">
        <v>45</v>
      </c>
      <c r="U42" s="10" t="s">
        <v>175</v>
      </c>
    </row>
    <row r="43" spans="1:32" x14ac:dyDescent="0.2">
      <c r="K43" s="175" t="str">
        <f>E42</f>
        <v>adm_e_gestao_publica</v>
      </c>
      <c r="L43" s="176"/>
      <c r="M43" s="176"/>
      <c r="N43" s="176"/>
      <c r="O43" s="177"/>
      <c r="AA43" s="175" t="str">
        <f>U42</f>
        <v>adm_e_gestao_publica</v>
      </c>
      <c r="AB43" s="176"/>
      <c r="AC43" s="176"/>
      <c r="AD43" s="176"/>
      <c r="AE43" s="177"/>
    </row>
    <row r="44" spans="1:32" ht="96" x14ac:dyDescent="0.2">
      <c r="B44" s="10" t="s">
        <v>48</v>
      </c>
      <c r="K44" s="25" t="s">
        <v>49</v>
      </c>
      <c r="L44" s="26" t="s">
        <v>50</v>
      </c>
      <c r="M44" s="26" t="s">
        <v>51</v>
      </c>
      <c r="N44" s="26" t="s">
        <v>52</v>
      </c>
      <c r="O44" s="25" t="s">
        <v>53</v>
      </c>
      <c r="R44" s="10" t="s">
        <v>48</v>
      </c>
      <c r="AA44" s="25" t="s">
        <v>49</v>
      </c>
      <c r="AB44" s="26" t="s">
        <v>50</v>
      </c>
      <c r="AC44" s="26" t="s">
        <v>51</v>
      </c>
      <c r="AD44" s="26" t="s">
        <v>52</v>
      </c>
      <c r="AE44" s="25" t="s">
        <v>53</v>
      </c>
    </row>
    <row r="45" spans="1:32" x14ac:dyDescent="0.2">
      <c r="A45" s="10" t="s">
        <v>49</v>
      </c>
      <c r="B45" s="10" t="s">
        <v>54</v>
      </c>
      <c r="D45" s="10" t="s">
        <v>55</v>
      </c>
      <c r="E45" s="10" t="s">
        <v>56</v>
      </c>
      <c r="F45" s="10" t="s">
        <v>57</v>
      </c>
      <c r="G45" s="10" t="s">
        <v>58</v>
      </c>
      <c r="H45" s="10" t="s">
        <v>59</v>
      </c>
      <c r="I45" s="10" t="s">
        <v>60</v>
      </c>
      <c r="K45" s="27">
        <v>0</v>
      </c>
      <c r="L45" s="28">
        <f t="shared" ref="L45:L49" si="13">I46</f>
        <v>11861.198968999999</v>
      </c>
      <c r="M45" s="28">
        <f t="shared" ref="M45:M49" si="14">SUM($L45:L$49)</f>
        <v>71493.046306999997</v>
      </c>
      <c r="N45" s="29">
        <f t="shared" ref="N45:N48" si="15">M46/M45</f>
        <v>0.83409297013213646</v>
      </c>
      <c r="O45" s="30" t="s">
        <v>61</v>
      </c>
      <c r="P45" s="59">
        <f>N45+N45*N46+N45*N46*N47+N45*N46*N47*N48</f>
        <v>2.1483064239768148</v>
      </c>
      <c r="Q45" s="10" t="s">
        <v>49</v>
      </c>
      <c r="R45" s="10" t="s">
        <v>54</v>
      </c>
      <c r="S45" s="10" t="s">
        <v>55</v>
      </c>
      <c r="T45" s="10" t="s">
        <v>56</v>
      </c>
      <c r="U45" s="10" t="s">
        <v>57</v>
      </c>
      <c r="V45" s="10" t="s">
        <v>58</v>
      </c>
      <c r="W45" s="10" t="s">
        <v>59</v>
      </c>
      <c r="X45" s="10" t="s">
        <v>60</v>
      </c>
      <c r="AA45" s="27">
        <v>0</v>
      </c>
      <c r="AB45" s="28">
        <f t="shared" ref="AB45:AB49" si="16">Y46</f>
        <v>23513.084464</v>
      </c>
      <c r="AC45" s="28">
        <f t="shared" ref="AC45:AC49" si="17">SUM($AB45:AB$49)</f>
        <v>146847.7971</v>
      </c>
      <c r="AD45" s="29">
        <f t="shared" ref="AD45:AD48" si="18">AC46/AC45</f>
        <v>0.8398812584979527</v>
      </c>
      <c r="AE45" s="30" t="s">
        <v>61</v>
      </c>
      <c r="AF45" s="59">
        <f>AD45+AD45*AD46+AD45*AD46*AD47+AD45*AD46*AD47*AD48</f>
        <v>1.8285165491597288</v>
      </c>
    </row>
    <row r="46" spans="1:32" x14ac:dyDescent="0.2">
      <c r="B46" s="10">
        <v>0</v>
      </c>
      <c r="C46" s="56">
        <v>14009.260892</v>
      </c>
      <c r="D46" s="56">
        <v>33346.161690000001</v>
      </c>
      <c r="E46" s="56">
        <v>34009.396680999998</v>
      </c>
      <c r="F46" s="56">
        <v>26200.657869999999</v>
      </c>
      <c r="G46" s="56">
        <v>21385.228376999999</v>
      </c>
      <c r="H46" s="56">
        <v>15566.820283999999</v>
      </c>
      <c r="I46" s="56">
        <v>11861.198968999999</v>
      </c>
      <c r="K46" s="27">
        <v>1</v>
      </c>
      <c r="L46" s="28">
        <f t="shared" si="13"/>
        <v>10331.060202000001</v>
      </c>
      <c r="M46" s="28">
        <f t="shared" si="14"/>
        <v>59631.847338</v>
      </c>
      <c r="N46" s="29">
        <f t="shared" si="15"/>
        <v>0.8267526386790871</v>
      </c>
      <c r="O46" s="30" t="s">
        <v>62</v>
      </c>
      <c r="R46" s="10">
        <v>0</v>
      </c>
      <c r="S46" s="10">
        <v>5964.0609640000002</v>
      </c>
      <c r="T46" s="10">
        <v>40658.528178</v>
      </c>
      <c r="U46" s="10">
        <v>64329.495540000004</v>
      </c>
      <c r="V46" s="10">
        <v>47985.17368</v>
      </c>
      <c r="W46" s="10">
        <v>28837.416123999999</v>
      </c>
      <c r="X46" s="10">
        <v>24592.974311999998</v>
      </c>
      <c r="Y46" s="10">
        <v>23513.084464</v>
      </c>
      <c r="AA46" s="27">
        <v>1</v>
      </c>
      <c r="AB46" s="28">
        <f t="shared" si="16"/>
        <v>29067.780174</v>
      </c>
      <c r="AC46" s="28">
        <f t="shared" si="17"/>
        <v>123334.71263600001</v>
      </c>
      <c r="AD46" s="29">
        <f t="shared" si="18"/>
        <v>0.76431793164517858</v>
      </c>
      <c r="AE46" s="30" t="s">
        <v>62</v>
      </c>
    </row>
    <row r="47" spans="1:32" x14ac:dyDescent="0.2">
      <c r="B47" s="10">
        <v>1</v>
      </c>
      <c r="C47" s="56">
        <v>1241.271661</v>
      </c>
      <c r="D47" s="56">
        <v>11027.546949</v>
      </c>
      <c r="E47" s="56">
        <v>19037.077706</v>
      </c>
      <c r="F47" s="56">
        <v>23146.301681000001</v>
      </c>
      <c r="G47" s="56">
        <v>21294.742088999999</v>
      </c>
      <c r="H47" s="56">
        <v>16579.628027999999</v>
      </c>
      <c r="I47" s="56">
        <v>10331.060202000001</v>
      </c>
      <c r="K47" s="27">
        <v>2</v>
      </c>
      <c r="L47" s="28">
        <f t="shared" si="13"/>
        <v>19196.316755</v>
      </c>
      <c r="M47" s="28">
        <f t="shared" si="14"/>
        <v>49300.787135999999</v>
      </c>
      <c r="N47" s="29">
        <f t="shared" si="15"/>
        <v>0.61062859499493405</v>
      </c>
      <c r="O47" s="30" t="s">
        <v>63</v>
      </c>
      <c r="R47" s="10">
        <v>1</v>
      </c>
      <c r="S47" s="10">
        <v>494.85517399999998</v>
      </c>
      <c r="T47" s="10">
        <v>9247.8169730000009</v>
      </c>
      <c r="U47" s="10">
        <v>28121.904059</v>
      </c>
      <c r="V47" s="10">
        <v>40529.422388999999</v>
      </c>
      <c r="W47" s="10">
        <v>36010.361688999998</v>
      </c>
      <c r="X47" s="10">
        <v>31949.806028999999</v>
      </c>
      <c r="Y47" s="10">
        <v>29067.780174</v>
      </c>
      <c r="AA47" s="27">
        <v>2</v>
      </c>
      <c r="AB47" s="28">
        <f t="shared" si="16"/>
        <v>55513.079671</v>
      </c>
      <c r="AC47" s="28">
        <f t="shared" si="17"/>
        <v>94266.932461999997</v>
      </c>
      <c r="AD47" s="29">
        <f t="shared" si="18"/>
        <v>0.41110760453165363</v>
      </c>
      <c r="AE47" s="30" t="s">
        <v>63</v>
      </c>
    </row>
    <row r="48" spans="1:32" x14ac:dyDescent="0.2">
      <c r="B48" s="10">
        <v>2</v>
      </c>
      <c r="C48" s="56">
        <v>180.75991400000001</v>
      </c>
      <c r="D48" s="56">
        <v>4124.6051029999999</v>
      </c>
      <c r="E48" s="56">
        <v>12465.310648999999</v>
      </c>
      <c r="F48" s="56">
        <v>26511.090348000002</v>
      </c>
      <c r="G48" s="56">
        <v>37194.895941000002</v>
      </c>
      <c r="H48" s="56">
        <v>31539.776427000001</v>
      </c>
      <c r="I48" s="56">
        <v>19196.316755</v>
      </c>
      <c r="K48" s="27">
        <v>3</v>
      </c>
      <c r="L48" s="28">
        <f t="shared" si="13"/>
        <v>15552.604584999999</v>
      </c>
      <c r="M48" s="28">
        <f t="shared" si="14"/>
        <v>30104.470380999999</v>
      </c>
      <c r="N48" s="29">
        <f t="shared" si="15"/>
        <v>0.48337890060288852</v>
      </c>
      <c r="O48" s="32" t="s">
        <v>64</v>
      </c>
      <c r="R48" s="10">
        <v>2</v>
      </c>
      <c r="S48" s="10">
        <v>57.622587000000003</v>
      </c>
      <c r="T48" s="10">
        <v>2334.1143010000001</v>
      </c>
      <c r="U48" s="10">
        <v>12656.038269000001</v>
      </c>
      <c r="V48" s="10">
        <v>29640.740160000001</v>
      </c>
      <c r="W48" s="10">
        <v>45213.441926</v>
      </c>
      <c r="X48" s="10">
        <v>54278.002124999999</v>
      </c>
      <c r="Y48" s="10">
        <v>55513.079671</v>
      </c>
      <c r="AA48" s="27">
        <v>3</v>
      </c>
      <c r="AB48" s="28">
        <f t="shared" si="16"/>
        <v>26595.723474999999</v>
      </c>
      <c r="AC48" s="28">
        <f t="shared" si="17"/>
        <v>38753.852790999998</v>
      </c>
      <c r="AD48" s="29">
        <f t="shared" si="18"/>
        <v>0.31372698300653978</v>
      </c>
      <c r="AE48" s="32" t="s">
        <v>64</v>
      </c>
    </row>
    <row r="49" spans="1:32" x14ac:dyDescent="0.2">
      <c r="B49" s="10">
        <v>3</v>
      </c>
      <c r="C49" s="56">
        <v>72.313830999999993</v>
      </c>
      <c r="D49" s="56">
        <v>1084.9089509999999</v>
      </c>
      <c r="E49" s="56">
        <v>5062.6414729999997</v>
      </c>
      <c r="F49" s="56">
        <v>11340.230024</v>
      </c>
      <c r="G49" s="56">
        <v>17778.424793999999</v>
      </c>
      <c r="H49" s="56">
        <v>19583.737443000002</v>
      </c>
      <c r="I49" s="56">
        <v>15552.604584999999</v>
      </c>
      <c r="K49" s="27" t="s">
        <v>64</v>
      </c>
      <c r="L49" s="28">
        <f t="shared" si="13"/>
        <v>14551.865796</v>
      </c>
      <c r="M49" s="28">
        <f t="shared" si="14"/>
        <v>14551.865796</v>
      </c>
      <c r="N49" s="33" t="s">
        <v>65</v>
      </c>
      <c r="O49" s="32"/>
      <c r="R49" s="10">
        <v>3</v>
      </c>
      <c r="S49" s="10">
        <v>13.694856</v>
      </c>
      <c r="T49" s="10">
        <v>467.03928300000001</v>
      </c>
      <c r="U49" s="10">
        <v>3429.5806090000001</v>
      </c>
      <c r="V49" s="10">
        <v>10349.920749999999</v>
      </c>
      <c r="W49" s="10">
        <v>15992.524702000001</v>
      </c>
      <c r="X49" s="10">
        <v>22227.317350000001</v>
      </c>
      <c r="Y49" s="10">
        <v>26595.723474999999</v>
      </c>
      <c r="AA49" s="27" t="s">
        <v>64</v>
      </c>
      <c r="AB49" s="28">
        <f t="shared" si="16"/>
        <v>12158.129316</v>
      </c>
      <c r="AC49" s="28">
        <f t="shared" si="17"/>
        <v>12158.129316</v>
      </c>
      <c r="AD49" s="33" t="s">
        <v>65</v>
      </c>
      <c r="AE49" s="32"/>
    </row>
    <row r="50" spans="1:32" x14ac:dyDescent="0.2">
      <c r="B50" s="10" t="s">
        <v>64</v>
      </c>
      <c r="C50" s="56">
        <v>0</v>
      </c>
      <c r="D50" s="56">
        <v>319.96400399999999</v>
      </c>
      <c r="E50" s="56">
        <v>2149.1285429999998</v>
      </c>
      <c r="F50" s="56">
        <v>5785.4205670000001</v>
      </c>
      <c r="G50" s="56">
        <v>10886.571889000001</v>
      </c>
      <c r="H50" s="56">
        <v>14619.167715</v>
      </c>
      <c r="I50" s="56">
        <v>14551.865796</v>
      </c>
      <c r="R50" s="10" t="s">
        <v>64</v>
      </c>
      <c r="S50" s="10">
        <v>0</v>
      </c>
      <c r="T50" s="10">
        <v>128.03960000000001</v>
      </c>
      <c r="U50" s="10">
        <v>1039.062396</v>
      </c>
      <c r="V50" s="10">
        <v>3771.3800200000001</v>
      </c>
      <c r="W50" s="10">
        <v>6283.1988799999999</v>
      </c>
      <c r="X50" s="10">
        <v>9648.4036479999995</v>
      </c>
      <c r="Y50" s="10">
        <v>12158.129316</v>
      </c>
    </row>
    <row r="52" spans="1:32" x14ac:dyDescent="0.2">
      <c r="A52" s="10" t="s">
        <v>47</v>
      </c>
      <c r="B52" s="10" t="s">
        <v>47</v>
      </c>
      <c r="C52" s="10" t="s">
        <v>174</v>
      </c>
      <c r="D52" s="10" t="s">
        <v>45</v>
      </c>
      <c r="E52" s="10" t="s">
        <v>176</v>
      </c>
      <c r="Q52" s="10" t="s">
        <v>47</v>
      </c>
      <c r="R52" s="10" t="s">
        <v>47</v>
      </c>
      <c r="S52" s="10" t="s">
        <v>174</v>
      </c>
      <c r="T52" s="10" t="s">
        <v>45</v>
      </c>
      <c r="U52" s="10" t="s">
        <v>176</v>
      </c>
    </row>
    <row r="53" spans="1:32" x14ac:dyDescent="0.2">
      <c r="K53" s="175" t="str">
        <f>E52</f>
        <v>educacao</v>
      </c>
      <c r="L53" s="176"/>
      <c r="M53" s="176"/>
      <c r="N53" s="176"/>
      <c r="O53" s="177"/>
      <c r="AA53" s="175" t="str">
        <f>U52</f>
        <v>educacao</v>
      </c>
      <c r="AB53" s="176"/>
      <c r="AC53" s="176"/>
      <c r="AD53" s="176"/>
      <c r="AE53" s="177"/>
    </row>
    <row r="54" spans="1:32" ht="96" x14ac:dyDescent="0.2">
      <c r="B54" s="10" t="s">
        <v>48</v>
      </c>
      <c r="K54" s="25" t="s">
        <v>49</v>
      </c>
      <c r="L54" s="26" t="s">
        <v>50</v>
      </c>
      <c r="M54" s="26" t="s">
        <v>51</v>
      </c>
      <c r="N54" s="26" t="s">
        <v>52</v>
      </c>
      <c r="O54" s="25" t="s">
        <v>53</v>
      </c>
      <c r="R54" s="10" t="s">
        <v>48</v>
      </c>
      <c r="AA54" s="25" t="s">
        <v>49</v>
      </c>
      <c r="AB54" s="26" t="s">
        <v>50</v>
      </c>
      <c r="AC54" s="26" t="s">
        <v>51</v>
      </c>
      <c r="AD54" s="26" t="s">
        <v>52</v>
      </c>
      <c r="AE54" s="25" t="s">
        <v>53</v>
      </c>
    </row>
    <row r="55" spans="1:32" x14ac:dyDescent="0.2">
      <c r="A55" s="10" t="s">
        <v>49</v>
      </c>
      <c r="B55" s="10" t="s">
        <v>54</v>
      </c>
      <c r="D55" s="10" t="s">
        <v>55</v>
      </c>
      <c r="E55" s="10" t="s">
        <v>56</v>
      </c>
      <c r="F55" s="10" t="s">
        <v>57</v>
      </c>
      <c r="G55" s="10" t="s">
        <v>58</v>
      </c>
      <c r="H55" s="10" t="s">
        <v>59</v>
      </c>
      <c r="I55" s="10" t="s">
        <v>60</v>
      </c>
      <c r="K55" s="27">
        <v>0</v>
      </c>
      <c r="L55" s="28">
        <f t="shared" ref="L55:L59" si="19">I56</f>
        <v>20355.189107999999</v>
      </c>
      <c r="M55" s="28">
        <f t="shared" ref="M55:M59" si="20">SUM($L55:L$59)</f>
        <v>138796.66702399999</v>
      </c>
      <c r="N55" s="29">
        <f t="shared" ref="N55:N58" si="21">M56/M55</f>
        <v>0.8533452600523882</v>
      </c>
      <c r="O55" s="30" t="s">
        <v>61</v>
      </c>
      <c r="P55" s="59">
        <f>N55+N55*N56+N55*N56*N57+N55*N56*N57*N58</f>
        <v>2.205214769624654</v>
      </c>
      <c r="Q55" s="10" t="s">
        <v>49</v>
      </c>
      <c r="R55" s="10" t="s">
        <v>54</v>
      </c>
      <c r="S55" s="10" t="s">
        <v>55</v>
      </c>
      <c r="T55" s="10" t="s">
        <v>56</v>
      </c>
      <c r="U55" s="10" t="s">
        <v>57</v>
      </c>
      <c r="V55" s="10" t="s">
        <v>58</v>
      </c>
      <c r="W55" s="10" t="s">
        <v>59</v>
      </c>
      <c r="X55" s="10" t="s">
        <v>60</v>
      </c>
      <c r="AA55" s="27">
        <v>0</v>
      </c>
      <c r="AB55" s="28">
        <f t="shared" ref="AB55:AB59" si="22">Y56</f>
        <v>31300.877181</v>
      </c>
      <c r="AC55" s="28">
        <f t="shared" ref="AC55:AC59" si="23">SUM($AB55:AB$59)</f>
        <v>197686.10641600002</v>
      </c>
      <c r="AD55" s="29">
        <f t="shared" ref="AD55:AD58" si="24">AC56/AC55</f>
        <v>0.84166374790582332</v>
      </c>
      <c r="AE55" s="30" t="s">
        <v>61</v>
      </c>
      <c r="AF55" s="59">
        <f>AD55+AD55*AD56+AD55*AD56*AD57+AD55*AD56*AD57*AD58</f>
        <v>1.8588822156206821</v>
      </c>
    </row>
    <row r="56" spans="1:32" x14ac:dyDescent="0.2">
      <c r="B56" s="10">
        <v>0</v>
      </c>
      <c r="C56" s="10">
        <v>15549.303995</v>
      </c>
      <c r="D56" s="10">
        <v>62917.077441000001</v>
      </c>
      <c r="E56" s="10">
        <v>61669.094638000002</v>
      </c>
      <c r="F56" s="10">
        <v>45701.848618999997</v>
      </c>
      <c r="G56" s="10">
        <v>33734.346388999998</v>
      </c>
      <c r="H56" s="10">
        <v>24605.821542000002</v>
      </c>
      <c r="I56" s="10">
        <v>20355.189107999999</v>
      </c>
      <c r="K56" s="27">
        <v>1</v>
      </c>
      <c r="L56" s="28">
        <f t="shared" si="19"/>
        <v>16592.802108</v>
      </c>
      <c r="M56" s="28">
        <f t="shared" si="20"/>
        <v>118441.477916</v>
      </c>
      <c r="N56" s="29">
        <f t="shared" si="21"/>
        <v>0.85990716765821007</v>
      </c>
      <c r="O56" s="30" t="s">
        <v>62</v>
      </c>
      <c r="R56" s="10">
        <v>0</v>
      </c>
      <c r="S56" s="10">
        <v>3690.0860980000002</v>
      </c>
      <c r="T56" s="10">
        <v>32774.223911000001</v>
      </c>
      <c r="U56" s="10">
        <v>57730.917912999997</v>
      </c>
      <c r="V56" s="10">
        <v>50612.119752999999</v>
      </c>
      <c r="W56" s="10">
        <v>36989.545849000002</v>
      </c>
      <c r="X56" s="10">
        <v>33925.788351000003</v>
      </c>
      <c r="Y56" s="10">
        <v>31300.877181</v>
      </c>
      <c r="AA56" s="27">
        <v>1</v>
      </c>
      <c r="AB56" s="28">
        <f t="shared" si="22"/>
        <v>35424.918148999997</v>
      </c>
      <c r="AC56" s="28">
        <f t="shared" si="23"/>
        <v>166385.22923500001</v>
      </c>
      <c r="AD56" s="29">
        <f t="shared" si="24"/>
        <v>0.78709096767858899</v>
      </c>
      <c r="AE56" s="30" t="s">
        <v>62</v>
      </c>
    </row>
    <row r="57" spans="1:32" x14ac:dyDescent="0.2">
      <c r="B57" s="10">
        <v>1</v>
      </c>
      <c r="C57" s="10">
        <v>1604.0765859999999</v>
      </c>
      <c r="D57" s="10">
        <v>20425.598789</v>
      </c>
      <c r="E57" s="10">
        <v>37850.188313999999</v>
      </c>
      <c r="F57" s="10">
        <v>43284.283921000002</v>
      </c>
      <c r="G57" s="10">
        <v>34634.016388999997</v>
      </c>
      <c r="H57" s="10">
        <v>24339.333527999999</v>
      </c>
      <c r="I57" s="10">
        <v>16592.802108</v>
      </c>
      <c r="K57" s="27">
        <v>2</v>
      </c>
      <c r="L57" s="28">
        <f t="shared" si="19"/>
        <v>41778.072142999998</v>
      </c>
      <c r="M57" s="28">
        <f t="shared" si="20"/>
        <v>101848.675808</v>
      </c>
      <c r="N57" s="29">
        <f t="shared" si="21"/>
        <v>0.58980250050812721</v>
      </c>
      <c r="O57" s="30" t="s">
        <v>63</v>
      </c>
      <c r="R57" s="10">
        <v>1</v>
      </c>
      <c r="S57" s="10">
        <v>329.94025399999998</v>
      </c>
      <c r="T57" s="10">
        <v>8341.7509900000005</v>
      </c>
      <c r="U57" s="10">
        <v>32493.513747000001</v>
      </c>
      <c r="V57" s="10">
        <v>53161.830794000001</v>
      </c>
      <c r="W57" s="10">
        <v>48691.950756999999</v>
      </c>
      <c r="X57" s="10">
        <v>42759.672421000003</v>
      </c>
      <c r="Y57" s="10">
        <v>35424.918148999997</v>
      </c>
      <c r="AA57" s="27">
        <v>2</v>
      </c>
      <c r="AB57" s="28">
        <f t="shared" si="22"/>
        <v>76931.948633000007</v>
      </c>
      <c r="AC57" s="28">
        <f t="shared" si="23"/>
        <v>130960.311086</v>
      </c>
      <c r="AD57" s="29">
        <f t="shared" si="24"/>
        <v>0.41255523910232811</v>
      </c>
      <c r="AE57" s="30" t="s">
        <v>63</v>
      </c>
    </row>
    <row r="58" spans="1:32" x14ac:dyDescent="0.2">
      <c r="B58" s="10">
        <v>2</v>
      </c>
      <c r="C58" s="10">
        <v>145.53233700000001</v>
      </c>
      <c r="D58" s="10">
        <v>5942.9095960000004</v>
      </c>
      <c r="E58" s="10">
        <v>24175.231572000001</v>
      </c>
      <c r="F58" s="10">
        <v>50976.652602000002</v>
      </c>
      <c r="G58" s="10">
        <v>64963.346379000002</v>
      </c>
      <c r="H58" s="10">
        <v>55417.767209999998</v>
      </c>
      <c r="I58" s="10">
        <v>41778.072142999998</v>
      </c>
      <c r="K58" s="27">
        <v>3</v>
      </c>
      <c r="L58" s="28">
        <f t="shared" si="19"/>
        <v>34354.900957999998</v>
      </c>
      <c r="M58" s="28">
        <f t="shared" si="20"/>
        <v>60070.603665000002</v>
      </c>
      <c r="N58" s="29">
        <f t="shared" si="21"/>
        <v>0.42809129820653352</v>
      </c>
      <c r="O58" s="32" t="s">
        <v>64</v>
      </c>
      <c r="R58" s="10">
        <v>2</v>
      </c>
      <c r="S58" s="10">
        <v>52.497489000000002</v>
      </c>
      <c r="T58" s="10">
        <v>2251.7061800000001</v>
      </c>
      <c r="U58" s="10">
        <v>14621.246392999999</v>
      </c>
      <c r="V58" s="10">
        <v>41405.630262999999</v>
      </c>
      <c r="W58" s="10">
        <v>63150.721659000003</v>
      </c>
      <c r="X58" s="10">
        <v>75907.453498999996</v>
      </c>
      <c r="Y58" s="10">
        <v>76931.948633000007</v>
      </c>
      <c r="AA58" s="27">
        <v>3</v>
      </c>
      <c r="AB58" s="28">
        <f t="shared" si="22"/>
        <v>37927.077734999999</v>
      </c>
      <c r="AC58" s="28">
        <f t="shared" si="23"/>
        <v>54028.362453000002</v>
      </c>
      <c r="AD58" s="29">
        <f t="shared" si="24"/>
        <v>0.2980154124050442</v>
      </c>
      <c r="AE58" s="32" t="s">
        <v>64</v>
      </c>
    </row>
    <row r="59" spans="1:32" x14ac:dyDescent="0.2">
      <c r="B59" s="10">
        <v>3</v>
      </c>
      <c r="C59" s="10">
        <v>27.833507000000001</v>
      </c>
      <c r="D59" s="10">
        <v>1690.476287</v>
      </c>
      <c r="E59" s="10">
        <v>7531.9589539999997</v>
      </c>
      <c r="F59" s="10">
        <v>20516.180703000002</v>
      </c>
      <c r="G59" s="10">
        <v>32731.319697999999</v>
      </c>
      <c r="H59" s="10">
        <v>38200.090280999997</v>
      </c>
      <c r="I59" s="10">
        <v>34354.900957999998</v>
      </c>
      <c r="K59" s="27" t="s">
        <v>64</v>
      </c>
      <c r="L59" s="28">
        <f t="shared" si="19"/>
        <v>25715.702707</v>
      </c>
      <c r="M59" s="28">
        <f t="shared" si="20"/>
        <v>25715.702707</v>
      </c>
      <c r="N59" s="33" t="s">
        <v>65</v>
      </c>
      <c r="O59" s="32"/>
      <c r="R59" s="10">
        <v>3</v>
      </c>
      <c r="S59" s="10">
        <v>0</v>
      </c>
      <c r="T59" s="10">
        <v>448.862572</v>
      </c>
      <c r="U59" s="10">
        <v>3957.9355270000001</v>
      </c>
      <c r="V59" s="10">
        <v>13833.560224999999</v>
      </c>
      <c r="W59" s="10">
        <v>23713.013439999999</v>
      </c>
      <c r="X59" s="10">
        <v>32887.522562999999</v>
      </c>
      <c r="Y59" s="10">
        <v>37927.077734999999</v>
      </c>
      <c r="AA59" s="27" t="s">
        <v>64</v>
      </c>
      <c r="AB59" s="28">
        <f t="shared" si="22"/>
        <v>16101.284718000001</v>
      </c>
      <c r="AC59" s="28">
        <f t="shared" si="23"/>
        <v>16101.284718000001</v>
      </c>
      <c r="AD59" s="33" t="s">
        <v>65</v>
      </c>
      <c r="AE59" s="32"/>
    </row>
    <row r="60" spans="1:32" x14ac:dyDescent="0.2">
      <c r="B60" s="10" t="s">
        <v>64</v>
      </c>
      <c r="C60" s="10">
        <v>7.120228</v>
      </c>
      <c r="D60" s="10">
        <v>491.14540399999998</v>
      </c>
      <c r="E60" s="10">
        <v>2654.9023090000001</v>
      </c>
      <c r="F60" s="10">
        <v>7877.8289949999998</v>
      </c>
      <c r="G60" s="10">
        <v>15360.121477000001</v>
      </c>
      <c r="H60" s="10">
        <v>22260.132592000002</v>
      </c>
      <c r="I60" s="10">
        <v>25715.702707</v>
      </c>
      <c r="R60" s="10" t="s">
        <v>64</v>
      </c>
      <c r="S60" s="10">
        <v>0</v>
      </c>
      <c r="T60" s="10">
        <v>114.434673</v>
      </c>
      <c r="U60" s="10">
        <v>1184.678819</v>
      </c>
      <c r="V60" s="10">
        <v>4422.645716</v>
      </c>
      <c r="W60" s="10">
        <v>7296.7821549999999</v>
      </c>
      <c r="X60" s="10">
        <v>11938.474925</v>
      </c>
      <c r="Y60" s="10">
        <v>16101.284718000001</v>
      </c>
    </row>
    <row r="61" spans="1:32" ht="15.75" customHeight="1" x14ac:dyDescent="0.2"/>
    <row r="62" spans="1:32" ht="15.75" customHeight="1" x14ac:dyDescent="0.2">
      <c r="A62" s="10" t="s">
        <v>47</v>
      </c>
      <c r="B62" s="10" t="s">
        <v>47</v>
      </c>
      <c r="C62" s="10" t="s">
        <v>174</v>
      </c>
      <c r="D62" s="10" t="s">
        <v>45</v>
      </c>
      <c r="E62" s="10" t="s">
        <v>177</v>
      </c>
      <c r="Q62" s="10" t="s">
        <v>47</v>
      </c>
      <c r="R62" s="10" t="s">
        <v>47</v>
      </c>
      <c r="S62" s="10" t="s">
        <v>174</v>
      </c>
      <c r="T62" s="10" t="s">
        <v>45</v>
      </c>
      <c r="U62" s="10" t="s">
        <v>177</v>
      </c>
    </row>
    <row r="63" spans="1:32" ht="15.75" customHeight="1" x14ac:dyDescent="0.2">
      <c r="K63" s="175" t="str">
        <f>E62</f>
        <v>outras</v>
      </c>
      <c r="L63" s="176"/>
      <c r="M63" s="176"/>
      <c r="N63" s="176"/>
      <c r="O63" s="177"/>
      <c r="AA63" s="175" t="str">
        <f>U62</f>
        <v>outras</v>
      </c>
      <c r="AB63" s="176"/>
      <c r="AC63" s="176"/>
      <c r="AD63" s="176"/>
      <c r="AE63" s="177"/>
    </row>
    <row r="64" spans="1:32" ht="15.75" customHeight="1" x14ac:dyDescent="0.2">
      <c r="B64" s="10" t="s">
        <v>48</v>
      </c>
      <c r="K64" s="25" t="s">
        <v>49</v>
      </c>
      <c r="L64" s="26" t="s">
        <v>50</v>
      </c>
      <c r="M64" s="26" t="s">
        <v>51</v>
      </c>
      <c r="N64" s="26" t="s">
        <v>52</v>
      </c>
      <c r="O64" s="25" t="s">
        <v>53</v>
      </c>
      <c r="R64" s="10" t="s">
        <v>48</v>
      </c>
      <c r="AA64" s="25" t="s">
        <v>49</v>
      </c>
      <c r="AB64" s="26" t="s">
        <v>50</v>
      </c>
      <c r="AC64" s="26" t="s">
        <v>51</v>
      </c>
      <c r="AD64" s="26" t="s">
        <v>52</v>
      </c>
      <c r="AE64" s="25" t="s">
        <v>53</v>
      </c>
    </row>
    <row r="65" spans="1:32" ht="15.75" customHeight="1" x14ac:dyDescent="0.2">
      <c r="A65" s="10" t="s">
        <v>49</v>
      </c>
      <c r="B65" s="10" t="s">
        <v>54</v>
      </c>
      <c r="D65" s="10" t="s">
        <v>55</v>
      </c>
      <c r="E65" s="10" t="s">
        <v>56</v>
      </c>
      <c r="F65" s="10" t="s">
        <v>57</v>
      </c>
      <c r="G65" s="10" t="s">
        <v>58</v>
      </c>
      <c r="H65" s="10" t="s">
        <v>59</v>
      </c>
      <c r="I65" s="10" t="s">
        <v>60</v>
      </c>
      <c r="K65" s="27">
        <v>0</v>
      </c>
      <c r="L65" s="28">
        <f t="shared" ref="L65:L69" si="25">I66</f>
        <v>1972.1505360000001</v>
      </c>
      <c r="M65" s="28">
        <f t="shared" ref="M65:M69" si="26">SUM($L65:L$69)</f>
        <v>14100.139183000001</v>
      </c>
      <c r="N65" s="29">
        <f t="shared" ref="N65:N68" si="27">M66/M65</f>
        <v>0.86013254831003738</v>
      </c>
      <c r="O65" s="30" t="s">
        <v>61</v>
      </c>
      <c r="P65" s="109">
        <f>N65+N65*N66+N65*N66*N67+N65*N66*N67*N68</f>
        <v>2.3856715656790404</v>
      </c>
      <c r="Q65" s="10" t="s">
        <v>49</v>
      </c>
      <c r="R65" s="10" t="s">
        <v>54</v>
      </c>
      <c r="S65" s="10" t="s">
        <v>55</v>
      </c>
      <c r="T65" s="10" t="s">
        <v>56</v>
      </c>
      <c r="U65" s="10" t="s">
        <v>57</v>
      </c>
      <c r="V65" s="10" t="s">
        <v>58</v>
      </c>
      <c r="W65" s="10" t="s">
        <v>59</v>
      </c>
      <c r="X65" s="10" t="s">
        <v>60</v>
      </c>
      <c r="AA65" s="27">
        <v>0</v>
      </c>
      <c r="AB65" s="28">
        <f t="shared" ref="AB65:AB69" si="28">Y66</f>
        <v>2355.254856</v>
      </c>
      <c r="AC65" s="28">
        <f t="shared" ref="AC65:AC69" si="29">SUM($AB65:AB$69)</f>
        <v>12599.629099</v>
      </c>
      <c r="AD65" s="29">
        <f t="shared" ref="AD65:AD68" si="30">AC66/AC65</f>
        <v>0.8130695088328489</v>
      </c>
      <c r="AE65" s="30" t="s">
        <v>61</v>
      </c>
      <c r="AF65" s="109">
        <f>AD65+AD65*AD66+AD65*AD66*AD67+AD65*AD66*AD67*AD68</f>
        <v>1.7510906192271238</v>
      </c>
    </row>
    <row r="66" spans="1:32" ht="15.75" customHeight="1" x14ac:dyDescent="0.2">
      <c r="B66" s="10">
        <v>0</v>
      </c>
      <c r="C66" s="10">
        <v>9001.7386760000009</v>
      </c>
      <c r="D66" s="10">
        <v>10297.609145</v>
      </c>
      <c r="E66" s="10">
        <v>6415.916956</v>
      </c>
      <c r="F66" s="10">
        <v>4206.2818310000002</v>
      </c>
      <c r="G66" s="10">
        <v>3177.0391530000002</v>
      </c>
      <c r="H66" s="10">
        <v>2665.17038</v>
      </c>
      <c r="I66" s="10">
        <v>1972.1505360000001</v>
      </c>
      <c r="K66" s="27">
        <v>1</v>
      </c>
      <c r="L66" s="28">
        <f t="shared" si="25"/>
        <v>1688.97345</v>
      </c>
      <c r="M66" s="28">
        <f t="shared" si="26"/>
        <v>12127.988647</v>
      </c>
      <c r="N66" s="29">
        <f t="shared" si="27"/>
        <v>0.86073754691238213</v>
      </c>
      <c r="O66" s="30" t="s">
        <v>62</v>
      </c>
      <c r="R66" s="10">
        <v>0</v>
      </c>
      <c r="S66" s="10">
        <v>833.94390399999997</v>
      </c>
      <c r="T66" s="10">
        <v>4642.3707869999998</v>
      </c>
      <c r="U66" s="10">
        <v>8004.121588</v>
      </c>
      <c r="V66" s="10">
        <v>5319.4124540000003</v>
      </c>
      <c r="W66" s="10">
        <v>3376.096763</v>
      </c>
      <c r="X66" s="10">
        <v>2395.5557749999998</v>
      </c>
      <c r="Y66" s="10">
        <v>2355.254856</v>
      </c>
      <c r="AA66" s="27">
        <v>1</v>
      </c>
      <c r="AB66" s="28">
        <f t="shared" si="28"/>
        <v>2678.5346070000001</v>
      </c>
      <c r="AC66" s="28">
        <f t="shared" si="29"/>
        <v>10244.374243</v>
      </c>
      <c r="AD66" s="29">
        <f t="shared" si="30"/>
        <v>0.73853604490969782</v>
      </c>
      <c r="AE66" s="30" t="s">
        <v>62</v>
      </c>
    </row>
    <row r="67" spans="1:32" ht="15.75" customHeight="1" x14ac:dyDescent="0.2">
      <c r="B67" s="10">
        <v>1</v>
      </c>
      <c r="C67" s="10">
        <v>856.54742799999997</v>
      </c>
      <c r="D67" s="10">
        <v>3436.6341050000001</v>
      </c>
      <c r="E67" s="10">
        <v>3587.7813620000002</v>
      </c>
      <c r="F67" s="10">
        <v>3535.1149129999999</v>
      </c>
      <c r="G67" s="10">
        <v>3454.367956</v>
      </c>
      <c r="H67" s="10">
        <v>2584.293819</v>
      </c>
      <c r="I67" s="10">
        <v>1688.97345</v>
      </c>
      <c r="K67" s="27">
        <v>2</v>
      </c>
      <c r="L67" s="28">
        <f t="shared" si="25"/>
        <v>3302.0101490000002</v>
      </c>
      <c r="M67" s="28">
        <f t="shared" si="26"/>
        <v>10439.015197000001</v>
      </c>
      <c r="N67" s="29">
        <f t="shared" si="27"/>
        <v>0.68368566510479423</v>
      </c>
      <c r="O67" s="30" t="s">
        <v>63</v>
      </c>
      <c r="R67" s="10">
        <v>1</v>
      </c>
      <c r="S67" s="10">
        <v>39.079732</v>
      </c>
      <c r="T67" s="10">
        <v>651.61428999999998</v>
      </c>
      <c r="U67" s="10">
        <v>2144.446332</v>
      </c>
      <c r="V67" s="10">
        <v>3236.2169859999999</v>
      </c>
      <c r="W67" s="10">
        <v>2662.0834719999998</v>
      </c>
      <c r="X67" s="10">
        <v>2405.2689610000002</v>
      </c>
      <c r="Y67" s="10">
        <v>2678.5346070000001</v>
      </c>
      <c r="AA67" s="27">
        <v>2</v>
      </c>
      <c r="AB67" s="28">
        <f t="shared" si="28"/>
        <v>4421.8364549999997</v>
      </c>
      <c r="AC67" s="28">
        <f t="shared" si="29"/>
        <v>7565.8396359999997</v>
      </c>
      <c r="AD67" s="29">
        <f t="shared" si="30"/>
        <v>0.41555244787903145</v>
      </c>
      <c r="AE67" s="30" t="s">
        <v>63</v>
      </c>
    </row>
    <row r="68" spans="1:32" ht="15.75" customHeight="1" x14ac:dyDescent="0.2">
      <c r="B68" s="10">
        <v>2</v>
      </c>
      <c r="C68" s="10">
        <v>191.638238</v>
      </c>
      <c r="D68" s="10">
        <v>1223.7903470000001</v>
      </c>
      <c r="E68" s="10">
        <v>2819.2465390000002</v>
      </c>
      <c r="F68" s="10">
        <v>4901.6031510000003</v>
      </c>
      <c r="G68" s="10">
        <v>6027.1198299999996</v>
      </c>
      <c r="H68" s="10">
        <v>5213.7313610000001</v>
      </c>
      <c r="I68" s="10">
        <v>3302.0101490000002</v>
      </c>
      <c r="K68" s="27">
        <v>3</v>
      </c>
      <c r="L68" s="28">
        <f t="shared" si="25"/>
        <v>3202.7128189999999</v>
      </c>
      <c r="M68" s="28">
        <f t="shared" si="26"/>
        <v>7137.005048</v>
      </c>
      <c r="N68" s="29">
        <f t="shared" si="27"/>
        <v>0.55125254956944514</v>
      </c>
      <c r="O68" s="32" t="s">
        <v>64</v>
      </c>
      <c r="R68" s="10">
        <v>2</v>
      </c>
      <c r="S68" s="10">
        <v>0</v>
      </c>
      <c r="T68" s="10">
        <v>254.00771700000001</v>
      </c>
      <c r="U68" s="10">
        <v>881.98036200000001</v>
      </c>
      <c r="V68" s="10">
        <v>1808.1070540000001</v>
      </c>
      <c r="W68" s="10">
        <v>3184.6266270000001</v>
      </c>
      <c r="X68" s="10">
        <v>4344.8693510000003</v>
      </c>
      <c r="Y68" s="10">
        <v>4421.8364549999997</v>
      </c>
      <c r="AA68" s="27">
        <v>3</v>
      </c>
      <c r="AB68" s="28">
        <f t="shared" si="28"/>
        <v>2035.1279199999999</v>
      </c>
      <c r="AC68" s="28">
        <f t="shared" si="29"/>
        <v>3144.003181</v>
      </c>
      <c r="AD68" s="29">
        <f t="shared" si="30"/>
        <v>0.35269533685627652</v>
      </c>
      <c r="AE68" s="32" t="s">
        <v>64</v>
      </c>
    </row>
    <row r="69" spans="1:32" ht="15.75" customHeight="1" x14ac:dyDescent="0.2">
      <c r="B69" s="10">
        <v>3</v>
      </c>
      <c r="C69" s="10">
        <v>16.466868000000002</v>
      </c>
      <c r="D69" s="10">
        <v>449.98297700000001</v>
      </c>
      <c r="E69" s="10">
        <v>1249.5675590000001</v>
      </c>
      <c r="F69" s="10">
        <v>2728.2249830000001</v>
      </c>
      <c r="G69" s="10">
        <v>3502.4631880000002</v>
      </c>
      <c r="H69" s="10">
        <v>3764.2821319999998</v>
      </c>
      <c r="I69" s="10">
        <v>3202.7128189999999</v>
      </c>
      <c r="K69" s="27" t="s">
        <v>64</v>
      </c>
      <c r="L69" s="28">
        <f t="shared" si="25"/>
        <v>3934.2922290000001</v>
      </c>
      <c r="M69" s="28">
        <f t="shared" si="26"/>
        <v>3934.2922290000001</v>
      </c>
      <c r="N69" s="33" t="s">
        <v>65</v>
      </c>
      <c r="O69" s="32"/>
      <c r="R69" s="10">
        <v>3</v>
      </c>
      <c r="S69" s="10">
        <v>0</v>
      </c>
      <c r="T69" s="10">
        <v>71.580623000000003</v>
      </c>
      <c r="U69" s="10">
        <v>330.70023800000001</v>
      </c>
      <c r="V69" s="10">
        <v>710.58438999999998</v>
      </c>
      <c r="W69" s="10">
        <v>1234.398729</v>
      </c>
      <c r="X69" s="10">
        <v>1634.0191150000001</v>
      </c>
      <c r="Y69" s="10">
        <v>2035.1279199999999</v>
      </c>
      <c r="AA69" s="27" t="s">
        <v>64</v>
      </c>
      <c r="AB69" s="28">
        <f t="shared" si="28"/>
        <v>1108.8752609999999</v>
      </c>
      <c r="AC69" s="28">
        <f t="shared" si="29"/>
        <v>1108.8752609999999</v>
      </c>
      <c r="AD69" s="33" t="s">
        <v>65</v>
      </c>
      <c r="AE69" s="32"/>
    </row>
    <row r="70" spans="1:32" ht="15.75" customHeight="1" x14ac:dyDescent="0.2">
      <c r="B70" s="10" t="s">
        <v>64</v>
      </c>
      <c r="C70" s="10">
        <v>32.969568000000002</v>
      </c>
      <c r="D70" s="10">
        <v>244.58888999999999</v>
      </c>
      <c r="E70" s="10">
        <v>848.81615799999997</v>
      </c>
      <c r="F70" s="10">
        <v>2065.06529</v>
      </c>
      <c r="G70" s="10">
        <v>3077.320518</v>
      </c>
      <c r="H70" s="10">
        <v>3777.8902330000001</v>
      </c>
      <c r="I70" s="10">
        <v>3934.2922290000001</v>
      </c>
      <c r="R70" s="10" t="s">
        <v>64</v>
      </c>
      <c r="S70" s="10">
        <v>0</v>
      </c>
      <c r="T70" s="10">
        <v>7.9869680000000001</v>
      </c>
      <c r="U70" s="10">
        <v>120.22375</v>
      </c>
      <c r="V70" s="10">
        <v>506.77729099999999</v>
      </c>
      <c r="W70" s="10">
        <v>555.08232499999997</v>
      </c>
      <c r="X70" s="10">
        <v>835.77405699999997</v>
      </c>
      <c r="Y70" s="10">
        <v>1108.8752609999999</v>
      </c>
    </row>
    <row r="71" spans="1:32" ht="15.75" customHeight="1" x14ac:dyDescent="0.2"/>
    <row r="72" spans="1:32" ht="15.75" customHeight="1" x14ac:dyDescent="0.2">
      <c r="A72" s="10" t="s">
        <v>47</v>
      </c>
      <c r="B72" s="10" t="s">
        <v>47</v>
      </c>
      <c r="C72" s="10" t="s">
        <v>174</v>
      </c>
      <c r="D72" s="10" t="s">
        <v>45</v>
      </c>
      <c r="E72" s="10" t="s">
        <v>178</v>
      </c>
      <c r="Q72" s="10" t="s">
        <v>47</v>
      </c>
      <c r="R72" s="10" t="s">
        <v>47</v>
      </c>
      <c r="S72" s="10" t="s">
        <v>174</v>
      </c>
      <c r="T72" s="10" t="s">
        <v>45</v>
      </c>
      <c r="U72" s="10" t="s">
        <v>178</v>
      </c>
    </row>
    <row r="73" spans="1:32" ht="15.75" customHeight="1" x14ac:dyDescent="0.2">
      <c r="K73" s="175" t="str">
        <f>E72</f>
        <v>saude</v>
      </c>
      <c r="L73" s="176"/>
      <c r="M73" s="176"/>
      <c r="N73" s="176"/>
      <c r="O73" s="177"/>
      <c r="AA73" s="175" t="str">
        <f>U72</f>
        <v>saude</v>
      </c>
      <c r="AB73" s="176"/>
      <c r="AC73" s="176"/>
      <c r="AD73" s="176"/>
      <c r="AE73" s="177"/>
    </row>
    <row r="74" spans="1:32" ht="15.75" customHeight="1" x14ac:dyDescent="0.2">
      <c r="B74" s="10" t="s">
        <v>48</v>
      </c>
      <c r="K74" s="25" t="s">
        <v>49</v>
      </c>
      <c r="L74" s="26" t="s">
        <v>50</v>
      </c>
      <c r="M74" s="26" t="s">
        <v>51</v>
      </c>
      <c r="N74" s="26" t="s">
        <v>52</v>
      </c>
      <c r="O74" s="25" t="s">
        <v>53</v>
      </c>
      <c r="R74" s="10" t="s">
        <v>48</v>
      </c>
      <c r="AA74" s="25" t="s">
        <v>49</v>
      </c>
      <c r="AB74" s="26" t="s">
        <v>50</v>
      </c>
      <c r="AC74" s="26" t="s">
        <v>51</v>
      </c>
      <c r="AD74" s="26" t="s">
        <v>52</v>
      </c>
      <c r="AE74" s="25" t="s">
        <v>53</v>
      </c>
    </row>
    <row r="75" spans="1:32" ht="15.75" customHeight="1" x14ac:dyDescent="0.2">
      <c r="A75" s="10" t="s">
        <v>49</v>
      </c>
      <c r="B75" s="10" t="s">
        <v>54</v>
      </c>
      <c r="D75" s="10" t="s">
        <v>55</v>
      </c>
      <c r="E75" s="10" t="s">
        <v>56</v>
      </c>
      <c r="F75" s="10" t="s">
        <v>57</v>
      </c>
      <c r="G75" s="10" t="s">
        <v>58</v>
      </c>
      <c r="H75" s="10" t="s">
        <v>59</v>
      </c>
      <c r="I75" s="10" t="s">
        <v>60</v>
      </c>
      <c r="K75" s="27">
        <v>0</v>
      </c>
      <c r="L75" s="28">
        <f t="shared" ref="L75:L79" si="31">I76</f>
        <v>3772.0273200000001</v>
      </c>
      <c r="M75" s="28">
        <f t="shared" ref="M75:M79" si="32">SUM($L75:L$79)</f>
        <v>25082.275313999999</v>
      </c>
      <c r="N75" s="29">
        <f t="shared" ref="N75:N78" si="33">M76/M75</f>
        <v>0.8496138299744046</v>
      </c>
      <c r="O75" s="30" t="s">
        <v>61</v>
      </c>
      <c r="P75" s="59">
        <f>N75+N75*N76+N75*N76*N77+N75*N76*N77*N78</f>
        <v>2.1897112565917833</v>
      </c>
      <c r="Q75" s="10" t="s">
        <v>49</v>
      </c>
      <c r="R75" s="10" t="s">
        <v>54</v>
      </c>
      <c r="S75" s="10" t="s">
        <v>55</v>
      </c>
      <c r="T75" s="10" t="s">
        <v>56</v>
      </c>
      <c r="U75" s="10" t="s">
        <v>57</v>
      </c>
      <c r="V75" s="10" t="s">
        <v>58</v>
      </c>
      <c r="W75" s="10" t="s">
        <v>59</v>
      </c>
      <c r="X75" s="10" t="s">
        <v>60</v>
      </c>
      <c r="AA75" s="27">
        <v>0</v>
      </c>
      <c r="AB75" s="28">
        <f t="shared" ref="AB75:AB79" si="34">Y76</f>
        <v>6879.8948149999997</v>
      </c>
      <c r="AC75" s="28">
        <f t="shared" ref="AC75:AC79" si="35">SUM($AB75:AB$79)</f>
        <v>48061.835091000001</v>
      </c>
      <c r="AD75" s="29">
        <f t="shared" ref="AD75:AD78" si="36">AC76/AC75</f>
        <v>0.85685326409252471</v>
      </c>
      <c r="AE75" s="30" t="s">
        <v>61</v>
      </c>
      <c r="AF75" s="59">
        <f>AD75+AD75*AD76+AD75*AD76*AD77+AD75*AD76*AD77*AD78</f>
        <v>1.927378411490293</v>
      </c>
    </row>
    <row r="76" spans="1:32" ht="15.75" customHeight="1" x14ac:dyDescent="0.2">
      <c r="B76" s="10">
        <v>0</v>
      </c>
      <c r="C76" s="10">
        <v>2784.9692669999999</v>
      </c>
      <c r="D76" s="10">
        <v>7927.643513</v>
      </c>
      <c r="E76" s="10">
        <v>9972.6533569999992</v>
      </c>
      <c r="F76" s="10">
        <v>7468.8465649999998</v>
      </c>
      <c r="G76" s="10">
        <v>5623.8634249999996</v>
      </c>
      <c r="H76" s="10">
        <v>4921.1671260000003</v>
      </c>
      <c r="I76" s="10">
        <v>3772.0273200000001</v>
      </c>
      <c r="K76" s="27">
        <v>1</v>
      </c>
      <c r="L76" s="28">
        <f t="shared" si="31"/>
        <v>3445.2238969999999</v>
      </c>
      <c r="M76" s="28">
        <f t="shared" si="32"/>
        <v>21310.247994000001</v>
      </c>
      <c r="N76" s="29">
        <f t="shared" si="33"/>
        <v>0.8383301828317522</v>
      </c>
      <c r="O76" s="30" t="s">
        <v>62</v>
      </c>
      <c r="R76" s="10">
        <v>0</v>
      </c>
      <c r="S76" s="10">
        <v>1136.536544</v>
      </c>
      <c r="T76" s="10">
        <v>13842.287918</v>
      </c>
      <c r="U76" s="10">
        <v>25490.766912999999</v>
      </c>
      <c r="V76" s="10">
        <v>17042.352454</v>
      </c>
      <c r="W76" s="10">
        <v>9884.1522710000008</v>
      </c>
      <c r="X76" s="10">
        <v>8706.6407859999999</v>
      </c>
      <c r="Y76" s="10">
        <v>6879.8948149999997</v>
      </c>
      <c r="AA76" s="27">
        <v>1</v>
      </c>
      <c r="AB76" s="28">
        <f t="shared" si="34"/>
        <v>8737.9362029999993</v>
      </c>
      <c r="AC76" s="28">
        <f t="shared" si="35"/>
        <v>41181.940275999994</v>
      </c>
      <c r="AD76" s="29">
        <f t="shared" si="36"/>
        <v>0.78782116276118519</v>
      </c>
      <c r="AE76" s="30" t="s">
        <v>62</v>
      </c>
    </row>
    <row r="77" spans="1:32" ht="15.75" customHeight="1" x14ac:dyDescent="0.2">
      <c r="B77" s="10">
        <v>1</v>
      </c>
      <c r="C77" s="10">
        <v>196.22212500000001</v>
      </c>
      <c r="D77" s="10">
        <v>2750.4952779999999</v>
      </c>
      <c r="E77" s="10">
        <v>5318.491325</v>
      </c>
      <c r="F77" s="10">
        <v>7013.1401480000004</v>
      </c>
      <c r="G77" s="10">
        <v>7298.9896280000003</v>
      </c>
      <c r="H77" s="10">
        <v>5689.3370260000002</v>
      </c>
      <c r="I77" s="10">
        <v>3445.2238969999999</v>
      </c>
      <c r="K77" s="27">
        <v>2</v>
      </c>
      <c r="L77" s="28">
        <f t="shared" si="31"/>
        <v>7169.9808519999997</v>
      </c>
      <c r="M77" s="28">
        <f t="shared" si="32"/>
        <v>17865.024097000001</v>
      </c>
      <c r="N77" s="29">
        <f t="shared" si="33"/>
        <v>0.598658204261587</v>
      </c>
      <c r="O77" s="30" t="s">
        <v>63</v>
      </c>
      <c r="R77" s="10">
        <v>1</v>
      </c>
      <c r="S77" s="10">
        <v>108.631884</v>
      </c>
      <c r="T77" s="10">
        <v>3581.9895409999999</v>
      </c>
      <c r="U77" s="10">
        <v>11810.103653</v>
      </c>
      <c r="V77" s="10">
        <v>16421.955558000001</v>
      </c>
      <c r="W77" s="10">
        <v>12882.586367</v>
      </c>
      <c r="X77" s="10">
        <v>10718.570890999999</v>
      </c>
      <c r="Y77" s="10">
        <v>8737.9362029999993</v>
      </c>
      <c r="AA77" s="27">
        <v>2</v>
      </c>
      <c r="AB77" s="28">
        <f t="shared" si="34"/>
        <v>18212.65554</v>
      </c>
      <c r="AC77" s="28">
        <f t="shared" si="35"/>
        <v>32444.004073</v>
      </c>
      <c r="AD77" s="29">
        <f t="shared" si="36"/>
        <v>0.43864340853179007</v>
      </c>
      <c r="AE77" s="30" t="s">
        <v>63</v>
      </c>
    </row>
    <row r="78" spans="1:32" ht="15.75" customHeight="1" x14ac:dyDescent="0.2">
      <c r="B78" s="10">
        <v>2</v>
      </c>
      <c r="C78" s="10">
        <v>29.897711999999999</v>
      </c>
      <c r="D78" s="10">
        <v>915.61237800000004</v>
      </c>
      <c r="E78" s="10">
        <v>3402.6874590000002</v>
      </c>
      <c r="F78" s="10">
        <v>9212.5036020000007</v>
      </c>
      <c r="G78" s="10">
        <v>11466.725452999999</v>
      </c>
      <c r="H78" s="10">
        <v>10726.877619000001</v>
      </c>
      <c r="I78" s="10">
        <v>7169.9808519999997</v>
      </c>
      <c r="K78" s="27">
        <v>3</v>
      </c>
      <c r="L78" s="28">
        <f t="shared" si="31"/>
        <v>5642.417985</v>
      </c>
      <c r="M78" s="28">
        <f t="shared" si="32"/>
        <v>10695.043245000001</v>
      </c>
      <c r="N78" s="29">
        <f t="shared" si="33"/>
        <v>0.47242681906519018</v>
      </c>
      <c r="O78" s="32" t="s">
        <v>64</v>
      </c>
      <c r="R78" s="10">
        <v>2</v>
      </c>
      <c r="S78" s="10">
        <v>4.2094740000000002</v>
      </c>
      <c r="T78" s="10">
        <v>648.97740099999999</v>
      </c>
      <c r="U78" s="10">
        <v>4805.1409379999996</v>
      </c>
      <c r="V78" s="10">
        <v>12981.172262</v>
      </c>
      <c r="W78" s="10">
        <v>16432.451895999999</v>
      </c>
      <c r="X78" s="10">
        <v>17456.364803</v>
      </c>
      <c r="Y78" s="10">
        <v>18212.65554</v>
      </c>
      <c r="AA78" s="27">
        <v>3</v>
      </c>
      <c r="AB78" s="28">
        <f t="shared" si="34"/>
        <v>9455.2980439999992</v>
      </c>
      <c r="AC78" s="28">
        <f t="shared" si="35"/>
        <v>14231.348533</v>
      </c>
      <c r="AD78" s="29">
        <f t="shared" si="36"/>
        <v>0.33560069714582402</v>
      </c>
      <c r="AE78" s="32" t="s">
        <v>64</v>
      </c>
    </row>
    <row r="79" spans="1:32" ht="15.75" customHeight="1" x14ac:dyDescent="0.2">
      <c r="B79" s="10">
        <v>3</v>
      </c>
      <c r="C79" s="10">
        <v>14.790964000000001</v>
      </c>
      <c r="D79" s="10">
        <v>219.95568499999999</v>
      </c>
      <c r="E79" s="10">
        <v>1145.52937</v>
      </c>
      <c r="F79" s="10">
        <v>3485.9051979999999</v>
      </c>
      <c r="G79" s="10">
        <v>5985.6705199999997</v>
      </c>
      <c r="H79" s="10">
        <v>7373.3418970000002</v>
      </c>
      <c r="I79" s="10">
        <v>5642.417985</v>
      </c>
      <c r="K79" s="27" t="s">
        <v>64</v>
      </c>
      <c r="L79" s="28">
        <f t="shared" si="31"/>
        <v>5052.6252599999998</v>
      </c>
      <c r="M79" s="28">
        <f t="shared" si="32"/>
        <v>5052.6252599999998</v>
      </c>
      <c r="N79" s="33" t="s">
        <v>65</v>
      </c>
      <c r="O79" s="32"/>
      <c r="R79" s="10">
        <v>3</v>
      </c>
      <c r="S79" s="10">
        <v>0</v>
      </c>
      <c r="T79" s="10">
        <v>65.047780000000003</v>
      </c>
      <c r="U79" s="10">
        <v>1145.5780199999999</v>
      </c>
      <c r="V79" s="10">
        <v>3507.0193479999998</v>
      </c>
      <c r="W79" s="10">
        <v>6681.0404120000003</v>
      </c>
      <c r="X79" s="10">
        <v>8125.4173220000002</v>
      </c>
      <c r="Y79" s="10">
        <v>9455.2980439999992</v>
      </c>
      <c r="AA79" s="27" t="s">
        <v>64</v>
      </c>
      <c r="AB79" s="28">
        <f t="shared" si="34"/>
        <v>4776.0504890000002</v>
      </c>
      <c r="AC79" s="28">
        <f t="shared" si="35"/>
        <v>4776.0504890000002</v>
      </c>
      <c r="AD79" s="33" t="s">
        <v>65</v>
      </c>
      <c r="AE79" s="32"/>
    </row>
    <row r="80" spans="1:32" ht="15.75" customHeight="1" x14ac:dyDescent="0.2">
      <c r="B80" s="10" t="s">
        <v>64</v>
      </c>
      <c r="C80" s="10">
        <v>0</v>
      </c>
      <c r="D80" s="10">
        <v>89.016446999999999</v>
      </c>
      <c r="E80" s="10">
        <v>358.81309299999998</v>
      </c>
      <c r="F80" s="10">
        <v>1297.679881</v>
      </c>
      <c r="G80" s="10">
        <v>2854.5020089999998</v>
      </c>
      <c r="H80" s="10">
        <v>4498.6212310000001</v>
      </c>
      <c r="I80" s="10">
        <v>5052.6252599999998</v>
      </c>
      <c r="R80" s="10" t="s">
        <v>64</v>
      </c>
      <c r="S80" s="10">
        <v>4.9216470000000001</v>
      </c>
      <c r="T80" s="10">
        <v>34.419507000000003</v>
      </c>
      <c r="U80" s="10">
        <v>252.898999</v>
      </c>
      <c r="V80" s="10">
        <v>982.66144899999995</v>
      </c>
      <c r="W80" s="10">
        <v>1972.3260319999999</v>
      </c>
      <c r="X80" s="10">
        <v>3381.2687089999999</v>
      </c>
      <c r="Y80" s="10">
        <v>4776.0504890000002</v>
      </c>
    </row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  <row r="1018" ht="15.75" customHeight="1" x14ac:dyDescent="0.2"/>
    <row r="1019" ht="15.75" customHeight="1" x14ac:dyDescent="0.2"/>
    <row r="1020" ht="15.75" customHeight="1" x14ac:dyDescent="0.2"/>
    <row r="1021" ht="15.75" customHeight="1" x14ac:dyDescent="0.2"/>
    <row r="1022" ht="15.75" customHeight="1" x14ac:dyDescent="0.2"/>
    <row r="1023" ht="15.75" customHeight="1" x14ac:dyDescent="0.2"/>
    <row r="1024" ht="15.75" customHeight="1" x14ac:dyDescent="0.2"/>
    <row r="1025" ht="15.75" customHeight="1" x14ac:dyDescent="0.2"/>
    <row r="1026" ht="15.75" customHeight="1" x14ac:dyDescent="0.2"/>
    <row r="1027" ht="15.75" customHeight="1" x14ac:dyDescent="0.2"/>
    <row r="1028" ht="15.75" customHeight="1" x14ac:dyDescent="0.2"/>
    <row r="1029" ht="15.75" customHeight="1" x14ac:dyDescent="0.2"/>
  </sheetData>
  <mergeCells count="12">
    <mergeCell ref="K4:O4"/>
    <mergeCell ref="AA4:AE4"/>
    <mergeCell ref="K17:O17"/>
    <mergeCell ref="K27:O27"/>
    <mergeCell ref="K73:O73"/>
    <mergeCell ref="AA73:AE73"/>
    <mergeCell ref="K43:O43"/>
    <mergeCell ref="AA43:AE43"/>
    <mergeCell ref="K53:O53"/>
    <mergeCell ref="AA53:AE53"/>
    <mergeCell ref="K63:O63"/>
    <mergeCell ref="AA63:AE63"/>
  </mergeCells>
  <pageMargins left="0.511811024" right="0.511811024" top="0.78740157499999996" bottom="0.78740157499999996" header="0" footer="0"/>
  <pageSetup orientation="landscape"/>
  <headerFooter>
    <oddFooter>&amp;L_x000D_&amp;1#&amp;"Calibri"&amp;10&amp;K000000 Classificação - Restrito | Classification - Restricted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621BC-8640-5245-A79E-7EE5D8BF437C}">
  <dimension ref="A1:U77"/>
  <sheetViews>
    <sheetView topLeftCell="A34" workbookViewId="0">
      <selection activeCell="A65" sqref="A65"/>
    </sheetView>
  </sheetViews>
  <sheetFormatPr baseColWidth="10" defaultColWidth="8.83203125" defaultRowHeight="15" x14ac:dyDescent="0.2"/>
  <cols>
    <col min="1" max="2" width="8.83203125" style="75"/>
    <col min="3" max="3" width="10.5" style="75" bestFit="1" customWidth="1"/>
    <col min="4" max="4" width="9.5" style="75" bestFit="1" customWidth="1"/>
    <col min="5" max="5" width="10.5" style="75" bestFit="1" customWidth="1"/>
    <col min="6" max="7" width="8.83203125" style="75"/>
    <col min="8" max="8" width="11.33203125" style="75" bestFit="1" customWidth="1"/>
    <col min="9" max="16384" width="8.83203125" style="75"/>
  </cols>
  <sheetData>
    <row r="1" spans="1:17" s="73" customFormat="1" ht="15" customHeight="1" x14ac:dyDescent="0.2">
      <c r="A1" s="74" t="s">
        <v>172</v>
      </c>
    </row>
    <row r="2" spans="1:17" s="1" customFormat="1" x14ac:dyDescent="0.2">
      <c r="A2" s="10" t="s">
        <v>42</v>
      </c>
      <c r="B2" s="10" t="s">
        <v>83</v>
      </c>
      <c r="C2" s="10" t="s">
        <v>44</v>
      </c>
      <c r="D2" s="10" t="s">
        <v>45</v>
      </c>
      <c r="E2" s="10" t="s">
        <v>84</v>
      </c>
      <c r="J2" s="10" t="s">
        <v>42</v>
      </c>
      <c r="K2" s="10" t="s">
        <v>85</v>
      </c>
      <c r="L2" s="10" t="s">
        <v>44</v>
      </c>
      <c r="M2" s="10" t="s">
        <v>45</v>
      </c>
      <c r="N2" s="10" t="s">
        <v>86</v>
      </c>
    </row>
    <row r="3" spans="1:17" s="1" customFormat="1" x14ac:dyDescent="0.2">
      <c r="A3" s="10" t="s">
        <v>47</v>
      </c>
      <c r="B3" s="10" t="s">
        <v>47</v>
      </c>
      <c r="C3" s="10" t="s">
        <v>87</v>
      </c>
      <c r="D3" s="10" t="s">
        <v>45</v>
      </c>
      <c r="E3" s="10" t="s">
        <v>88</v>
      </c>
      <c r="J3" s="10" t="s">
        <v>47</v>
      </c>
      <c r="K3" s="10" t="s">
        <v>47</v>
      </c>
      <c r="L3" s="10" t="s">
        <v>87</v>
      </c>
      <c r="M3" s="10" t="s">
        <v>45</v>
      </c>
      <c r="N3" s="10" t="s">
        <v>88</v>
      </c>
    </row>
    <row r="4" spans="1:17" s="1" customFormat="1" ht="15" customHeight="1" x14ac:dyDescent="0.2"/>
    <row r="5" spans="1:17" s="1" customFormat="1" x14ac:dyDescent="0.2">
      <c r="B5" s="10" t="s">
        <v>70</v>
      </c>
      <c r="F5" s="10" t="str">
        <f>E3</f>
        <v>funcionario_publico</v>
      </c>
      <c r="K5" s="10" t="s">
        <v>71</v>
      </c>
      <c r="O5" s="10" t="str">
        <f>N3</f>
        <v>funcionario_publico</v>
      </c>
    </row>
    <row r="6" spans="1:17" s="1" customFormat="1" x14ac:dyDescent="0.2">
      <c r="A6" s="10" t="s">
        <v>48</v>
      </c>
      <c r="C6" s="10">
        <v>0</v>
      </c>
      <c r="D6" s="10">
        <v>1</v>
      </c>
      <c r="E6" s="10" t="s">
        <v>89</v>
      </c>
      <c r="F6" s="32" t="s">
        <v>73</v>
      </c>
      <c r="G6" s="43" t="s">
        <v>75</v>
      </c>
      <c r="H6" s="25"/>
      <c r="J6" s="10" t="s">
        <v>48</v>
      </c>
      <c r="L6" s="10" t="s">
        <v>76</v>
      </c>
      <c r="M6" s="10" t="s">
        <v>77</v>
      </c>
      <c r="N6" s="10" t="s">
        <v>89</v>
      </c>
      <c r="O6" s="32" t="s">
        <v>73</v>
      </c>
      <c r="P6" s="43" t="s">
        <v>75</v>
      </c>
      <c r="Q6" s="25"/>
    </row>
    <row r="7" spans="1:17" s="1" customFormat="1" x14ac:dyDescent="0.2">
      <c r="B7" s="10" t="s">
        <v>54</v>
      </c>
      <c r="C7" s="49">
        <v>2972.75</v>
      </c>
      <c r="D7" s="49">
        <v>1644.691</v>
      </c>
      <c r="E7" s="56">
        <v>45962.713799999998</v>
      </c>
      <c r="F7" s="45">
        <f>D7/E7</f>
        <v>3.5783156911853194E-2</v>
      </c>
      <c r="G7" s="47">
        <v>17.5</v>
      </c>
      <c r="H7" s="48">
        <f t="shared" ref="H7:H13" si="0">G7*F7</f>
        <v>0.62620524595743088</v>
      </c>
      <c r="K7" s="10" t="s">
        <v>54</v>
      </c>
      <c r="L7" s="56">
        <v>12444.65</v>
      </c>
      <c r="M7" s="56">
        <v>285.42660000000001</v>
      </c>
      <c r="N7" s="56">
        <f>SUM(L7:M7)</f>
        <v>12730.0766</v>
      </c>
      <c r="O7" s="45">
        <f t="shared" ref="O7:O13" si="1">M7/N7</f>
        <v>2.2421436175804315E-2</v>
      </c>
      <c r="P7" s="47">
        <v>17.5</v>
      </c>
      <c r="Q7" s="48">
        <f t="shared" ref="Q7:Q13" si="2">P7*O7</f>
        <v>0.39237513307657551</v>
      </c>
    </row>
    <row r="8" spans="1:17" s="1" customFormat="1" x14ac:dyDescent="0.2">
      <c r="B8" s="10" t="s">
        <v>55</v>
      </c>
      <c r="C8" s="49">
        <v>41806.58</v>
      </c>
      <c r="D8" s="49">
        <v>12630.65</v>
      </c>
      <c r="E8" s="56">
        <v>168925.723</v>
      </c>
      <c r="F8" s="45">
        <f t="shared" ref="F8:F13" si="3">D8/E8</f>
        <v>7.4770436234865192E-2</v>
      </c>
      <c r="G8" s="47">
        <v>22.5</v>
      </c>
      <c r="H8" s="48">
        <f t="shared" si="0"/>
        <v>1.6823348152844668</v>
      </c>
      <c r="K8" s="10" t="s">
        <v>55</v>
      </c>
      <c r="L8" s="56">
        <v>114958.39999999999</v>
      </c>
      <c r="M8" s="56">
        <v>5608.3590000000004</v>
      </c>
      <c r="N8" s="56">
        <f t="shared" ref="N8:N13" si="4">SUM(L8:M8)</f>
        <v>120566.75899999999</v>
      </c>
      <c r="O8" s="45">
        <f t="shared" si="1"/>
        <v>4.6516627356633186E-2</v>
      </c>
      <c r="P8" s="47">
        <v>22.5</v>
      </c>
      <c r="Q8" s="48">
        <f t="shared" si="2"/>
        <v>1.0466241155242466</v>
      </c>
    </row>
    <row r="9" spans="1:17" s="1" customFormat="1" x14ac:dyDescent="0.2">
      <c r="B9" s="10" t="s">
        <v>56</v>
      </c>
      <c r="C9" s="49">
        <v>110077.6</v>
      </c>
      <c r="D9" s="49">
        <v>19579.8</v>
      </c>
      <c r="E9" s="56">
        <v>241724.43400000001</v>
      </c>
      <c r="F9" s="45">
        <f t="shared" si="3"/>
        <v>8.100049993291121E-2</v>
      </c>
      <c r="G9" s="47">
        <v>27.5</v>
      </c>
      <c r="H9" s="48">
        <f t="shared" si="0"/>
        <v>2.2275137481550584</v>
      </c>
      <c r="K9" s="10" t="s">
        <v>56</v>
      </c>
      <c r="L9" s="56">
        <v>256529.7</v>
      </c>
      <c r="M9" s="56">
        <v>18020.59</v>
      </c>
      <c r="N9" s="56">
        <f t="shared" si="4"/>
        <v>274550.29000000004</v>
      </c>
      <c r="O9" s="45">
        <f t="shared" si="1"/>
        <v>6.5636754563253227E-2</v>
      </c>
      <c r="P9" s="47">
        <v>27.5</v>
      </c>
      <c r="Q9" s="48">
        <f t="shared" si="2"/>
        <v>1.8050107504894637</v>
      </c>
    </row>
    <row r="10" spans="1:17" s="1" customFormat="1" x14ac:dyDescent="0.2">
      <c r="B10" s="10" t="s">
        <v>57</v>
      </c>
      <c r="C10" s="49">
        <v>203675.5</v>
      </c>
      <c r="D10" s="49">
        <v>20001.68</v>
      </c>
      <c r="E10" s="56">
        <v>307254.86090000003</v>
      </c>
      <c r="F10" s="45">
        <f t="shared" si="3"/>
        <v>6.5098009975861043E-2</v>
      </c>
      <c r="G10" s="47">
        <v>32.5</v>
      </c>
      <c r="H10" s="48">
        <f t="shared" si="0"/>
        <v>2.1156853242154838</v>
      </c>
      <c r="K10" s="10" t="s">
        <v>57</v>
      </c>
      <c r="L10" s="56">
        <v>333431.40000000002</v>
      </c>
      <c r="M10" s="56">
        <v>24797.33</v>
      </c>
      <c r="N10" s="56">
        <f t="shared" si="4"/>
        <v>358228.73000000004</v>
      </c>
      <c r="O10" s="45">
        <f t="shared" si="1"/>
        <v>6.9222058208452453E-2</v>
      </c>
      <c r="P10" s="47">
        <v>32.5</v>
      </c>
      <c r="Q10" s="48">
        <f t="shared" si="2"/>
        <v>2.2497168917747046</v>
      </c>
    </row>
    <row r="11" spans="1:17" s="1" customFormat="1" x14ac:dyDescent="0.2">
      <c r="B11" s="10" t="s">
        <v>58</v>
      </c>
      <c r="C11" s="49">
        <v>267110.90000000002</v>
      </c>
      <c r="D11" s="49">
        <v>11399.68</v>
      </c>
      <c r="E11" s="56">
        <v>342431.07510000002</v>
      </c>
      <c r="F11" s="45">
        <f t="shared" si="3"/>
        <v>3.3290436613181082E-2</v>
      </c>
      <c r="G11" s="47">
        <v>37.5</v>
      </c>
      <c r="H11" s="48">
        <f t="shared" si="0"/>
        <v>1.2483913729942906</v>
      </c>
      <c r="K11" s="10" t="s">
        <v>58</v>
      </c>
      <c r="L11" s="56">
        <v>355090.6</v>
      </c>
      <c r="M11" s="56">
        <v>15953.15</v>
      </c>
      <c r="N11" s="56">
        <f t="shared" si="4"/>
        <v>371043.75</v>
      </c>
      <c r="O11" s="45">
        <f t="shared" si="1"/>
        <v>4.2995334108174577E-2</v>
      </c>
      <c r="P11" s="47">
        <v>37.5</v>
      </c>
      <c r="Q11" s="48">
        <f t="shared" si="2"/>
        <v>1.6123250290565467</v>
      </c>
    </row>
    <row r="12" spans="1:17" s="1" customFormat="1" x14ac:dyDescent="0.2">
      <c r="B12" s="10" t="s">
        <v>59</v>
      </c>
      <c r="C12" s="49">
        <v>262982.7</v>
      </c>
      <c r="D12" s="49">
        <v>3185.2820000000002</v>
      </c>
      <c r="E12" s="56">
        <v>313926.98790000001</v>
      </c>
      <c r="F12" s="45">
        <f t="shared" si="3"/>
        <v>1.014656949791987E-2</v>
      </c>
      <c r="G12" s="47">
        <v>42.5</v>
      </c>
      <c r="H12" s="48">
        <f t="shared" si="0"/>
        <v>0.43122920366159445</v>
      </c>
      <c r="K12" s="10" t="s">
        <v>59</v>
      </c>
      <c r="L12" s="56">
        <v>395488.6</v>
      </c>
      <c r="M12" s="56">
        <v>4630.5519999999997</v>
      </c>
      <c r="N12" s="56">
        <f t="shared" si="4"/>
        <v>400119.152</v>
      </c>
      <c r="O12" s="45">
        <f t="shared" si="1"/>
        <v>1.1572932654820782E-2</v>
      </c>
      <c r="P12" s="47">
        <v>42.5</v>
      </c>
      <c r="Q12" s="48">
        <f t="shared" si="2"/>
        <v>0.49184963782988322</v>
      </c>
    </row>
    <row r="13" spans="1:17" s="1" customFormat="1" x14ac:dyDescent="0.2">
      <c r="B13" s="10" t="s">
        <v>60</v>
      </c>
      <c r="C13" s="49">
        <v>211198</v>
      </c>
      <c r="D13" s="49">
        <v>313.53199999999998</v>
      </c>
      <c r="E13" s="56">
        <v>249472.12779999999</v>
      </c>
      <c r="F13" s="45">
        <f t="shared" si="3"/>
        <v>1.2567816804422991E-3</v>
      </c>
      <c r="G13" s="47">
        <v>47.5</v>
      </c>
      <c r="H13" s="48">
        <f t="shared" si="0"/>
        <v>5.9697129821009207E-2</v>
      </c>
      <c r="K13" s="10" t="s">
        <v>60</v>
      </c>
      <c r="L13" s="56">
        <v>404668.9</v>
      </c>
      <c r="M13" s="56">
        <v>526.44280000000003</v>
      </c>
      <c r="N13" s="56">
        <f t="shared" si="4"/>
        <v>405195.34280000004</v>
      </c>
      <c r="O13" s="45">
        <f t="shared" si="1"/>
        <v>1.2992321095354898E-3</v>
      </c>
      <c r="P13" s="47">
        <v>47.5</v>
      </c>
      <c r="Q13" s="48">
        <f t="shared" si="2"/>
        <v>6.1713525202935764E-2</v>
      </c>
    </row>
    <row r="14" spans="1:17" s="1" customFormat="1" x14ac:dyDescent="0.2">
      <c r="F14" s="88">
        <f t="shared" ref="F14" si="5">SUM(F7:F13)*5</f>
        <v>1.5067294542351697</v>
      </c>
      <c r="G14" s="25"/>
      <c r="H14" s="48">
        <f>SUM(H7:H13)/SUM(F7:F13)</f>
        <v>27.845267166256846</v>
      </c>
      <c r="O14" s="88">
        <f t="shared" ref="O14" si="6">SUM(O7:O13)*5</f>
        <v>1.2983218758833701</v>
      </c>
      <c r="P14" s="25"/>
      <c r="Q14" s="48">
        <f>SUM(Q7:Q13)/SUM(O7:O13)</f>
        <v>29.498136114138884</v>
      </c>
    </row>
    <row r="15" spans="1:17" s="1" customFormat="1" x14ac:dyDescent="0.2">
      <c r="A15" s="10"/>
      <c r="B15" s="10"/>
      <c r="C15" s="10"/>
      <c r="D15" s="10"/>
      <c r="E15" s="10"/>
      <c r="J15" s="10"/>
      <c r="K15" s="10"/>
      <c r="L15" s="10"/>
      <c r="M15" s="10"/>
      <c r="N15" s="10"/>
    </row>
    <row r="16" spans="1:17" s="1" customFormat="1" x14ac:dyDescent="0.2">
      <c r="A16" s="10"/>
      <c r="B16" s="10"/>
      <c r="C16" s="10"/>
      <c r="D16" s="10"/>
      <c r="E16" s="10"/>
      <c r="J16" s="10"/>
      <c r="K16" s="10"/>
      <c r="L16" s="10"/>
      <c r="M16" s="10"/>
      <c r="N16" s="10"/>
    </row>
    <row r="17" spans="1:21" s="73" customFormat="1" ht="15" customHeight="1" x14ac:dyDescent="0.2">
      <c r="A17" s="74" t="s">
        <v>185</v>
      </c>
    </row>
    <row r="18" spans="1:21" x14ac:dyDescent="0.2">
      <c r="B18" s="75" t="s">
        <v>70</v>
      </c>
      <c r="F18" s="76">
        <f>E16</f>
        <v>0</v>
      </c>
      <c r="O18" s="75" t="s">
        <v>71</v>
      </c>
      <c r="S18" s="76">
        <f>R16</f>
        <v>0</v>
      </c>
    </row>
    <row r="19" spans="1:21" x14ac:dyDescent="0.2">
      <c r="A19" s="75" t="s">
        <v>48</v>
      </c>
      <c r="B19" s="75">
        <v>0</v>
      </c>
      <c r="C19" s="75">
        <v>1</v>
      </c>
      <c r="E19" s="75" t="s">
        <v>175</v>
      </c>
      <c r="F19" s="77" t="s">
        <v>73</v>
      </c>
      <c r="G19" s="78" t="s">
        <v>75</v>
      </c>
      <c r="H19" s="79"/>
      <c r="N19" s="75" t="s">
        <v>48</v>
      </c>
      <c r="P19" s="75" t="s">
        <v>76</v>
      </c>
      <c r="Q19" s="75" t="s">
        <v>77</v>
      </c>
      <c r="S19" s="77" t="s">
        <v>73</v>
      </c>
      <c r="T19" s="78" t="s">
        <v>75</v>
      </c>
      <c r="U19" s="79"/>
    </row>
    <row r="20" spans="1:21" ht="16" x14ac:dyDescent="0.2">
      <c r="B20" s="75" t="s">
        <v>54</v>
      </c>
      <c r="C20" s="80">
        <v>1025.021</v>
      </c>
      <c r="D20" s="80">
        <v>469.32429999999999</v>
      </c>
      <c r="E20" s="80">
        <v>15503.606299999999</v>
      </c>
      <c r="F20" s="81">
        <f>D20/E20</f>
        <v>3.0271943889596836E-2</v>
      </c>
      <c r="G20" s="47">
        <v>17.5</v>
      </c>
      <c r="H20" s="82">
        <f>G20*F20</f>
        <v>0.52975901806794468</v>
      </c>
      <c r="O20" s="75" t="s">
        <v>54</v>
      </c>
      <c r="P20" s="80">
        <v>6358.16</v>
      </c>
      <c r="Q20" s="80">
        <v>172.07310000000001</v>
      </c>
      <c r="R20" s="80">
        <f>SUM(P20:Q20)</f>
        <v>6530.2330999999995</v>
      </c>
      <c r="S20" s="81">
        <f t="shared" ref="S20:S26" si="7">Q20/R20</f>
        <v>2.6350223240882476E-2</v>
      </c>
      <c r="T20" s="84">
        <v>17.5</v>
      </c>
      <c r="U20" s="82">
        <f>T20*S20</f>
        <v>0.46112890671544332</v>
      </c>
    </row>
    <row r="21" spans="1:21" ht="16" x14ac:dyDescent="0.2">
      <c r="B21" s="75" t="s">
        <v>55</v>
      </c>
      <c r="C21" s="80">
        <v>12801.44</v>
      </c>
      <c r="D21" s="80">
        <v>3755.5810000000001</v>
      </c>
      <c r="E21" s="80">
        <v>49903.186699999998</v>
      </c>
      <c r="F21" s="81">
        <f t="shared" ref="F21:F26" si="8">D21/E21</f>
        <v>7.5257338225256071E-2</v>
      </c>
      <c r="G21" s="47">
        <v>22.5</v>
      </c>
      <c r="H21" s="82">
        <f t="shared" ref="H21:H26" si="9">G21*F21</f>
        <v>1.6932901100682616</v>
      </c>
      <c r="O21" s="75" t="s">
        <v>55</v>
      </c>
      <c r="P21" s="80">
        <v>50502.53</v>
      </c>
      <c r="Q21" s="80">
        <v>2333.009</v>
      </c>
      <c r="R21" s="80">
        <f t="shared" ref="R21:R26" si="10">SUM(P21:Q21)</f>
        <v>52835.538999999997</v>
      </c>
      <c r="S21" s="81">
        <f t="shared" si="7"/>
        <v>4.415605564277484E-2</v>
      </c>
      <c r="T21" s="85">
        <v>22.5</v>
      </c>
      <c r="U21" s="82">
        <f t="shared" ref="U21:U26" si="11">T21*S21</f>
        <v>0.99351125196243395</v>
      </c>
    </row>
    <row r="22" spans="1:21" ht="16" x14ac:dyDescent="0.2">
      <c r="B22" s="75" t="s">
        <v>56</v>
      </c>
      <c r="C22" s="80">
        <v>33399.160000000003</v>
      </c>
      <c r="D22" s="80">
        <v>5315</v>
      </c>
      <c r="E22" s="80">
        <v>72723.555049999995</v>
      </c>
      <c r="F22" s="81">
        <f t="shared" si="8"/>
        <v>7.3084985962880267E-2</v>
      </c>
      <c r="G22" s="47">
        <v>27.5</v>
      </c>
      <c r="H22" s="82">
        <f t="shared" si="9"/>
        <v>2.0098371139792075</v>
      </c>
      <c r="O22" s="75" t="s">
        <v>56</v>
      </c>
      <c r="P22" s="80">
        <v>102871.5</v>
      </c>
      <c r="Q22" s="80">
        <v>6704.5720000000001</v>
      </c>
      <c r="R22" s="80">
        <f t="shared" si="10"/>
        <v>109576.072</v>
      </c>
      <c r="S22" s="81">
        <f t="shared" si="7"/>
        <v>6.1186460489293687E-2</v>
      </c>
      <c r="T22" s="85">
        <v>27.5</v>
      </c>
      <c r="U22" s="82">
        <f t="shared" si="11"/>
        <v>1.6826276634555764</v>
      </c>
    </row>
    <row r="23" spans="1:21" ht="16" x14ac:dyDescent="0.2">
      <c r="B23" s="75" t="s">
        <v>57</v>
      </c>
      <c r="C23" s="80">
        <v>61047.93</v>
      </c>
      <c r="D23" s="80">
        <v>5735.1139999999996</v>
      </c>
      <c r="E23" s="80">
        <v>92983.700490000003</v>
      </c>
      <c r="F23" s="81">
        <f t="shared" si="8"/>
        <v>6.1678702501378579E-2</v>
      </c>
      <c r="G23" s="47">
        <v>32.5</v>
      </c>
      <c r="H23" s="82">
        <f t="shared" si="9"/>
        <v>2.0045578312948038</v>
      </c>
      <c r="O23" s="75" t="s">
        <v>57</v>
      </c>
      <c r="P23" s="80">
        <v>123348.6</v>
      </c>
      <c r="Q23" s="80">
        <v>8928.0529999999999</v>
      </c>
      <c r="R23" s="80">
        <f t="shared" si="10"/>
        <v>132276.65299999999</v>
      </c>
      <c r="S23" s="81">
        <f t="shared" si="7"/>
        <v>6.7495304708080267E-2</v>
      </c>
      <c r="T23" s="85">
        <v>32.5</v>
      </c>
      <c r="U23" s="82">
        <f t="shared" si="11"/>
        <v>2.1935974030126086</v>
      </c>
    </row>
    <row r="24" spans="1:21" ht="16" x14ac:dyDescent="0.2">
      <c r="B24" s="75" t="s">
        <v>58</v>
      </c>
      <c r="C24" s="80">
        <v>83545.55</v>
      </c>
      <c r="D24" s="80">
        <v>3609.0819999999999</v>
      </c>
      <c r="E24" s="80">
        <v>108539.86309</v>
      </c>
      <c r="F24" s="81">
        <f t="shared" si="8"/>
        <v>3.3251212017905263E-2</v>
      </c>
      <c r="G24" s="47">
        <v>37.5</v>
      </c>
      <c r="H24" s="82">
        <f t="shared" si="9"/>
        <v>1.2469204506714473</v>
      </c>
      <c r="O24" s="75" t="s">
        <v>58</v>
      </c>
      <c r="P24" s="80">
        <v>126399.5</v>
      </c>
      <c r="Q24" s="80">
        <v>5937.4409999999998</v>
      </c>
      <c r="R24" s="80">
        <f t="shared" si="10"/>
        <v>132336.94099999999</v>
      </c>
      <c r="S24" s="81">
        <f t="shared" si="7"/>
        <v>4.4866089204827549E-2</v>
      </c>
      <c r="T24" s="85">
        <v>37.5</v>
      </c>
      <c r="U24" s="82">
        <f t="shared" si="11"/>
        <v>1.682478345181033</v>
      </c>
    </row>
    <row r="25" spans="1:21" ht="16" x14ac:dyDescent="0.2">
      <c r="B25" s="75" t="s">
        <v>59</v>
      </c>
      <c r="C25" s="80">
        <v>81188.72</v>
      </c>
      <c r="D25" s="80">
        <v>1133.588</v>
      </c>
      <c r="E25" s="80">
        <v>97889.1299</v>
      </c>
      <c r="F25" s="81">
        <f t="shared" si="8"/>
        <v>1.1580325631232319E-2</v>
      </c>
      <c r="G25" s="47">
        <v>42.5</v>
      </c>
      <c r="H25" s="82">
        <f t="shared" si="9"/>
        <v>0.49216383932737356</v>
      </c>
      <c r="O25" s="75" t="s">
        <v>59</v>
      </c>
      <c r="P25" s="80">
        <v>140994.5</v>
      </c>
      <c r="Q25" s="80">
        <v>1701.962</v>
      </c>
      <c r="R25" s="80">
        <f t="shared" si="10"/>
        <v>142696.462</v>
      </c>
      <c r="S25" s="81">
        <f t="shared" si="7"/>
        <v>1.1927149251955526E-2</v>
      </c>
      <c r="T25" s="85">
        <v>42.5</v>
      </c>
      <c r="U25" s="82">
        <f t="shared" si="11"/>
        <v>0.50690384320810988</v>
      </c>
    </row>
    <row r="26" spans="1:21" ht="16" x14ac:dyDescent="0.2">
      <c r="B26" s="75" t="s">
        <v>60</v>
      </c>
      <c r="C26" s="80">
        <v>59555.55</v>
      </c>
      <c r="D26" s="80">
        <v>76.302040000000005</v>
      </c>
      <c r="E26" s="80">
        <v>71493.046310000005</v>
      </c>
      <c r="F26" s="81">
        <f t="shared" si="8"/>
        <v>1.0672651948435347E-3</v>
      </c>
      <c r="G26" s="47">
        <v>47.5</v>
      </c>
      <c r="H26" s="82">
        <f t="shared" si="9"/>
        <v>5.0695096755067899E-2</v>
      </c>
      <c r="O26" s="75" t="s">
        <v>60</v>
      </c>
      <c r="P26" s="80">
        <v>146602.4</v>
      </c>
      <c r="Q26" s="80">
        <v>245.44399999999999</v>
      </c>
      <c r="R26" s="80">
        <f t="shared" si="10"/>
        <v>146847.84399999998</v>
      </c>
      <c r="S26" s="81">
        <f t="shared" si="7"/>
        <v>1.6714171166176605E-3</v>
      </c>
      <c r="T26" s="85">
        <v>47.5</v>
      </c>
      <c r="U26" s="82">
        <f t="shared" si="11"/>
        <v>7.9392313039338872E-2</v>
      </c>
    </row>
    <row r="27" spans="1:21" x14ac:dyDescent="0.2">
      <c r="F27" s="89">
        <f t="shared" ref="F27" si="12">SUM(F20:F26)*5</f>
        <v>1.4309588671154641</v>
      </c>
      <c r="G27" s="79"/>
      <c r="H27" s="82">
        <f>SUM(H20:H26)/SUM(F20:F26)</f>
        <v>28.048407416299231</v>
      </c>
      <c r="S27" s="89">
        <f t="shared" ref="S27" si="13">SUM(S20:S26)*5</f>
        <v>1.2882634982721599</v>
      </c>
      <c r="T27" s="79"/>
      <c r="U27" s="82">
        <f>SUM(U20:U26)/SUM(S20:S26)</f>
        <v>29.495672805941116</v>
      </c>
    </row>
    <row r="28" spans="1:21" x14ac:dyDescent="0.2">
      <c r="A28" s="75" t="s">
        <v>47</v>
      </c>
      <c r="B28" s="75" t="s">
        <v>47</v>
      </c>
      <c r="C28" s="75" t="s">
        <v>174</v>
      </c>
      <c r="D28" s="75" t="s">
        <v>45</v>
      </c>
      <c r="E28" s="75" t="s">
        <v>176</v>
      </c>
      <c r="N28" s="75" t="s">
        <v>47</v>
      </c>
      <c r="O28" s="75" t="s">
        <v>47</v>
      </c>
      <c r="P28" s="75" t="s">
        <v>174</v>
      </c>
      <c r="Q28" s="75" t="s">
        <v>45</v>
      </c>
      <c r="R28" s="75" t="s">
        <v>176</v>
      </c>
    </row>
    <row r="30" spans="1:21" x14ac:dyDescent="0.2">
      <c r="B30" s="75" t="s">
        <v>70</v>
      </c>
      <c r="F30" s="76" t="str">
        <f>E28</f>
        <v>educacao</v>
      </c>
      <c r="O30" s="75" t="s">
        <v>71</v>
      </c>
      <c r="S30" s="76" t="str">
        <f>R28</f>
        <v>educacao</v>
      </c>
    </row>
    <row r="31" spans="1:21" x14ac:dyDescent="0.2">
      <c r="A31" s="75" t="s">
        <v>48</v>
      </c>
      <c r="B31" s="75">
        <v>0</v>
      </c>
      <c r="C31" s="75">
        <v>1</v>
      </c>
      <c r="E31" s="75" t="s">
        <v>176</v>
      </c>
      <c r="F31" s="77" t="s">
        <v>73</v>
      </c>
      <c r="G31" s="78" t="s">
        <v>75</v>
      </c>
      <c r="H31" s="79"/>
      <c r="N31" s="75" t="s">
        <v>48</v>
      </c>
      <c r="P31" s="75" t="s">
        <v>76</v>
      </c>
      <c r="Q31" s="75" t="s">
        <v>77</v>
      </c>
      <c r="S31" s="77" t="s">
        <v>73</v>
      </c>
      <c r="T31" s="78" t="s">
        <v>75</v>
      </c>
      <c r="U31" s="79"/>
    </row>
    <row r="32" spans="1:21" ht="16" x14ac:dyDescent="0.2">
      <c r="B32" s="75" t="s">
        <v>54</v>
      </c>
      <c r="C32" s="80">
        <v>1138.838</v>
      </c>
      <c r="D32" s="80">
        <v>645.72469999999998</v>
      </c>
      <c r="E32" s="80">
        <v>17333.86665</v>
      </c>
      <c r="F32" s="81">
        <f t="shared" ref="F32:F38" si="14">D32/E32</f>
        <v>3.725220189114585E-2</v>
      </c>
      <c r="G32" s="84">
        <v>17.5</v>
      </c>
      <c r="H32" s="82">
        <f>G32*F32</f>
        <v>0.6519135330950524</v>
      </c>
      <c r="O32" s="75" t="s">
        <v>54</v>
      </c>
      <c r="P32" s="80">
        <v>4001.335</v>
      </c>
      <c r="Q32" s="80">
        <v>71.189179999999993</v>
      </c>
      <c r="R32" s="80">
        <f>SUM(P32:Q32)</f>
        <v>4072.5241799999999</v>
      </c>
      <c r="S32" s="81">
        <f t="shared" ref="S32:S38" si="15">Q32/R32</f>
        <v>1.7480357845290926E-2</v>
      </c>
      <c r="T32" s="84">
        <v>17.5</v>
      </c>
      <c r="U32" s="82">
        <f>T32*S32</f>
        <v>0.30590626229259121</v>
      </c>
    </row>
    <row r="33" spans="1:21" ht="16" x14ac:dyDescent="0.2">
      <c r="B33" s="75" t="s">
        <v>55</v>
      </c>
      <c r="C33" s="80">
        <v>21528.67</v>
      </c>
      <c r="D33" s="80">
        <v>7021.4579999999996</v>
      </c>
      <c r="E33" s="80">
        <v>91467.207519999996</v>
      </c>
      <c r="F33" s="81">
        <f t="shared" si="14"/>
        <v>7.6764757451075624E-2</v>
      </c>
      <c r="G33" s="85">
        <v>22.5</v>
      </c>
      <c r="H33" s="82">
        <f t="shared" ref="H33:H38" si="16">G33*F33</f>
        <v>1.7272070426492014</v>
      </c>
      <c r="O33" s="75" t="s">
        <v>55</v>
      </c>
      <c r="P33" s="80">
        <v>41720.04</v>
      </c>
      <c r="Q33" s="80">
        <v>2210.9389999999999</v>
      </c>
      <c r="R33" s="80">
        <f t="shared" ref="R33:R38" si="17">SUM(P33:Q33)</f>
        <v>43930.978999999999</v>
      </c>
      <c r="S33" s="81">
        <f t="shared" si="15"/>
        <v>5.0327560421542163E-2</v>
      </c>
      <c r="T33" s="85">
        <v>22.5</v>
      </c>
      <c r="U33" s="82">
        <f t="shared" ref="U33:U38" si="18">T33*S33</f>
        <v>1.1323701094846987</v>
      </c>
    </row>
    <row r="34" spans="1:21" ht="16" x14ac:dyDescent="0.2">
      <c r="B34" s="75" t="s">
        <v>56</v>
      </c>
      <c r="C34" s="80">
        <v>60666.92</v>
      </c>
      <c r="D34" s="80">
        <v>11545.36</v>
      </c>
      <c r="E34" s="80">
        <v>133881.37578999999</v>
      </c>
      <c r="F34" s="81">
        <f t="shared" si="14"/>
        <v>8.6235743634047415E-2</v>
      </c>
      <c r="G34" s="85">
        <v>27.5</v>
      </c>
      <c r="H34" s="82">
        <f t="shared" si="16"/>
        <v>2.3714829499363037</v>
      </c>
      <c r="O34" s="75" t="s">
        <v>56</v>
      </c>
      <c r="P34" s="80">
        <v>101915</v>
      </c>
      <c r="Q34" s="80">
        <v>8073.3</v>
      </c>
      <c r="R34" s="80">
        <f t="shared" si="17"/>
        <v>109988.3</v>
      </c>
      <c r="S34" s="81">
        <f t="shared" si="15"/>
        <v>7.3401443608092865E-2</v>
      </c>
      <c r="T34" s="85">
        <v>27.5</v>
      </c>
      <c r="U34" s="82">
        <f t="shared" si="18"/>
        <v>2.0185396992225537</v>
      </c>
    </row>
    <row r="35" spans="1:21" ht="16" x14ac:dyDescent="0.2">
      <c r="B35" s="75" t="s">
        <v>57</v>
      </c>
      <c r="C35" s="80">
        <v>111282.4</v>
      </c>
      <c r="D35" s="80">
        <v>11372.51</v>
      </c>
      <c r="E35" s="80">
        <v>168356.79483999999</v>
      </c>
      <c r="F35" s="81">
        <f t="shared" si="14"/>
        <v>6.7550050538845247E-2</v>
      </c>
      <c r="G35" s="85">
        <v>32.5</v>
      </c>
      <c r="H35" s="82">
        <f t="shared" si="16"/>
        <v>2.1953766425124703</v>
      </c>
      <c r="O35" s="75" t="s">
        <v>57</v>
      </c>
      <c r="P35" s="80">
        <v>151739.4</v>
      </c>
      <c r="Q35" s="80">
        <v>11696.43</v>
      </c>
      <c r="R35" s="80">
        <f t="shared" si="17"/>
        <v>163435.82999999999</v>
      </c>
      <c r="S35" s="81">
        <f t="shared" si="15"/>
        <v>7.1565886134025827E-2</v>
      </c>
      <c r="T35" s="85">
        <v>32.5</v>
      </c>
      <c r="U35" s="82">
        <f t="shared" si="18"/>
        <v>2.3258912993558396</v>
      </c>
    </row>
    <row r="36" spans="1:21" ht="16" x14ac:dyDescent="0.2">
      <c r="B36" s="75" t="s">
        <v>58</v>
      </c>
      <c r="C36" s="80">
        <v>141495.79999999999</v>
      </c>
      <c r="D36" s="80">
        <v>6192.9740000000002</v>
      </c>
      <c r="E36" s="80">
        <v>181423.15033</v>
      </c>
      <c r="F36" s="81">
        <f t="shared" si="14"/>
        <v>3.4135522334031117E-2</v>
      </c>
      <c r="G36" s="85">
        <v>37.5</v>
      </c>
      <c r="H36" s="82">
        <f t="shared" si="16"/>
        <v>1.2800820875261669</v>
      </c>
      <c r="O36" s="75" t="s">
        <v>58</v>
      </c>
      <c r="P36" s="80">
        <v>172288.5</v>
      </c>
      <c r="Q36" s="80">
        <v>7553.4679999999998</v>
      </c>
      <c r="R36" s="80">
        <f t="shared" si="17"/>
        <v>179841.96799999999</v>
      </c>
      <c r="S36" s="81">
        <f t="shared" si="15"/>
        <v>4.2000585758714563E-2</v>
      </c>
      <c r="T36" s="85">
        <v>37.5</v>
      </c>
      <c r="U36" s="82">
        <f t="shared" si="18"/>
        <v>1.5750219659517961</v>
      </c>
    </row>
    <row r="37" spans="1:21" ht="16" x14ac:dyDescent="0.2">
      <c r="B37" s="75" t="s">
        <v>59</v>
      </c>
      <c r="C37" s="80">
        <v>138753.4</v>
      </c>
      <c r="D37" s="80">
        <v>1463.971</v>
      </c>
      <c r="E37" s="80">
        <v>164823.14515</v>
      </c>
      <c r="F37" s="81">
        <f t="shared" si="14"/>
        <v>8.882071742216115E-3</v>
      </c>
      <c r="G37" s="85">
        <v>42.5</v>
      </c>
      <c r="H37" s="82">
        <f t="shared" si="16"/>
        <v>0.37748804904418487</v>
      </c>
      <c r="O37" s="75" t="s">
        <v>59</v>
      </c>
      <c r="P37" s="80">
        <v>195293.8</v>
      </c>
      <c r="Q37" s="80">
        <v>2125.1480000000001</v>
      </c>
      <c r="R37" s="80">
        <f t="shared" si="17"/>
        <v>197418.94799999997</v>
      </c>
      <c r="S37" s="81">
        <f t="shared" si="15"/>
        <v>1.0764660745735512E-2</v>
      </c>
      <c r="T37" s="85">
        <v>42.5</v>
      </c>
      <c r="U37" s="82">
        <f t="shared" si="18"/>
        <v>0.45749808169375927</v>
      </c>
    </row>
    <row r="38" spans="1:21" ht="16" x14ac:dyDescent="0.2">
      <c r="B38" s="75" t="s">
        <v>60</v>
      </c>
      <c r="C38" s="80">
        <v>118262.8</v>
      </c>
      <c r="D38" s="80">
        <v>178.67330000000001</v>
      </c>
      <c r="E38" s="80">
        <v>138796.66701999999</v>
      </c>
      <c r="F38" s="81">
        <f t="shared" si="14"/>
        <v>1.2873025256021024E-3</v>
      </c>
      <c r="G38" s="85">
        <v>47.5</v>
      </c>
      <c r="H38" s="82">
        <f t="shared" si="16"/>
        <v>6.1146869966099859E-2</v>
      </c>
      <c r="O38" s="75" t="s">
        <v>60</v>
      </c>
      <c r="P38" s="80">
        <v>197488.4</v>
      </c>
      <c r="Q38" s="80">
        <v>197.69309999999999</v>
      </c>
      <c r="R38" s="80">
        <f t="shared" si="17"/>
        <v>197686.0931</v>
      </c>
      <c r="S38" s="81">
        <f t="shared" si="15"/>
        <v>1.0000354445772594E-3</v>
      </c>
      <c r="T38" s="85">
        <v>47.5</v>
      </c>
      <c r="U38" s="82">
        <f t="shared" si="18"/>
        <v>4.750168361741982E-2</v>
      </c>
    </row>
    <row r="39" spans="1:21" x14ac:dyDescent="0.2">
      <c r="F39" s="89">
        <f t="shared" ref="F39" si="19">SUM(F32:F38)*5</f>
        <v>1.5605382505848175</v>
      </c>
      <c r="G39" s="79"/>
      <c r="H39" s="82">
        <f>SUM(H32:H38)/SUM(F32:F38)</f>
        <v>27.761886552547985</v>
      </c>
      <c r="S39" s="89">
        <f t="shared" ref="S39" si="20">SUM(S32:S38)*5</f>
        <v>1.3327026497898955</v>
      </c>
      <c r="T39" s="79"/>
      <c r="U39" s="82">
        <f>SUM(U32:U38)/SUM(S32:S38)</f>
        <v>29.499187620202605</v>
      </c>
    </row>
    <row r="40" spans="1:21" x14ac:dyDescent="0.2">
      <c r="A40" s="75" t="s">
        <v>47</v>
      </c>
      <c r="B40" s="75" t="s">
        <v>47</v>
      </c>
      <c r="C40" s="75" t="s">
        <v>174</v>
      </c>
      <c r="D40" s="75" t="s">
        <v>45</v>
      </c>
      <c r="E40" s="75" t="s">
        <v>177</v>
      </c>
      <c r="N40" s="75" t="s">
        <v>47</v>
      </c>
      <c r="O40" s="75" t="s">
        <v>47</v>
      </c>
      <c r="P40" s="75" t="s">
        <v>174</v>
      </c>
      <c r="Q40" s="75" t="s">
        <v>45</v>
      </c>
      <c r="R40" s="75" t="s">
        <v>177</v>
      </c>
    </row>
    <row r="42" spans="1:21" x14ac:dyDescent="0.2">
      <c r="B42" s="75" t="s">
        <v>70</v>
      </c>
      <c r="F42" s="76" t="str">
        <f>E40</f>
        <v>outras</v>
      </c>
      <c r="O42" s="75" t="s">
        <v>71</v>
      </c>
      <c r="S42" s="76" t="str">
        <f>R40</f>
        <v>outras</v>
      </c>
    </row>
    <row r="43" spans="1:21" x14ac:dyDescent="0.2">
      <c r="A43" s="75" t="s">
        <v>48</v>
      </c>
      <c r="C43" s="75">
        <v>0</v>
      </c>
      <c r="D43" s="75">
        <v>1</v>
      </c>
      <c r="E43" s="75" t="s">
        <v>177</v>
      </c>
      <c r="F43" s="77" t="s">
        <v>73</v>
      </c>
      <c r="G43" s="78" t="s">
        <v>75</v>
      </c>
      <c r="H43" s="79"/>
      <c r="N43" s="75" t="s">
        <v>48</v>
      </c>
      <c r="P43" s="75" t="s">
        <v>76</v>
      </c>
      <c r="Q43" s="75" t="s">
        <v>77</v>
      </c>
      <c r="S43" s="77" t="s">
        <v>73</v>
      </c>
      <c r="T43" s="78" t="s">
        <v>75</v>
      </c>
      <c r="U43" s="79"/>
    </row>
    <row r="44" spans="1:21" ht="16" x14ac:dyDescent="0.2">
      <c r="B44" s="75" t="s">
        <v>54</v>
      </c>
      <c r="C44" s="83">
        <v>642.71474000000001</v>
      </c>
      <c r="D44" s="83">
        <v>454.90735999999998</v>
      </c>
      <c r="E44" s="83">
        <v>10099.36</v>
      </c>
      <c r="F44" s="81">
        <f t="shared" ref="F44:F50" si="21">D44/E44</f>
        <v>4.5043186895011161E-2</v>
      </c>
      <c r="G44" s="84">
        <v>17.5</v>
      </c>
      <c r="H44" s="82">
        <f>G44*F44</f>
        <v>0.78825577066269537</v>
      </c>
      <c r="O44" s="75" t="s">
        <v>54</v>
      </c>
      <c r="P44" s="80">
        <v>866.78160000000003</v>
      </c>
      <c r="Q44" s="80">
        <v>6.242038</v>
      </c>
      <c r="R44" s="80">
        <f>SUM(P44:Q44)</f>
        <v>873.02363800000001</v>
      </c>
      <c r="S44" s="81">
        <f>Q44/R44</f>
        <v>7.1499072056053535E-3</v>
      </c>
      <c r="T44" s="84">
        <v>17.5</v>
      </c>
      <c r="U44" s="82">
        <f>T44*S44</f>
        <v>0.12512337609809368</v>
      </c>
    </row>
    <row r="45" spans="1:21" ht="16" x14ac:dyDescent="0.2">
      <c r="B45" s="75" t="s">
        <v>55</v>
      </c>
      <c r="C45" s="83">
        <v>4388.8338999999996</v>
      </c>
      <c r="D45" s="83">
        <v>966.16242</v>
      </c>
      <c r="E45" s="83">
        <v>15652.61</v>
      </c>
      <c r="F45" s="81">
        <f t="shared" si="21"/>
        <v>6.1725323763896243E-2</v>
      </c>
      <c r="G45" s="85">
        <v>22.5</v>
      </c>
      <c r="H45" s="82">
        <f t="shared" ref="H45:H50" si="22">G45*F45</f>
        <v>1.3888197846876655</v>
      </c>
      <c r="O45" s="75" t="s">
        <v>55</v>
      </c>
      <c r="P45" s="80">
        <v>5473.7809999999999</v>
      </c>
      <c r="Q45" s="80">
        <v>153.779</v>
      </c>
      <c r="R45" s="80">
        <f t="shared" ref="R45:R50" si="23">SUM(P45:Q45)</f>
        <v>5627.5599999999995</v>
      </c>
      <c r="S45" s="81">
        <f t="shared" ref="S45:S50" si="24">Q45/R45</f>
        <v>2.7326052498773894E-2</v>
      </c>
      <c r="T45" s="85">
        <v>22.5</v>
      </c>
      <c r="U45" s="82">
        <f t="shared" ref="U45:U50" si="25">T45*S45</f>
        <v>0.61483618122241257</v>
      </c>
    </row>
    <row r="46" spans="1:21" ht="16" x14ac:dyDescent="0.2">
      <c r="B46" s="75" t="s">
        <v>56</v>
      </c>
      <c r="C46" s="83">
        <v>7378.81574</v>
      </c>
      <c r="D46" s="83">
        <v>1126.5958800000001</v>
      </c>
      <c r="E46" s="83">
        <v>14921.33</v>
      </c>
      <c r="F46" s="81">
        <f t="shared" si="21"/>
        <v>7.5502376798851051E-2</v>
      </c>
      <c r="G46" s="85">
        <v>27.5</v>
      </c>
      <c r="H46" s="82">
        <f t="shared" si="22"/>
        <v>2.0763153619684038</v>
      </c>
      <c r="O46" s="75" t="s">
        <v>56</v>
      </c>
      <c r="P46" s="80">
        <v>10967.13</v>
      </c>
      <c r="Q46" s="80">
        <v>514.33920000000001</v>
      </c>
      <c r="R46" s="80">
        <f t="shared" si="23"/>
        <v>11481.4692</v>
      </c>
      <c r="S46" s="81">
        <f t="shared" si="24"/>
        <v>4.4797333079985971E-2</v>
      </c>
      <c r="T46" s="85">
        <v>27.5</v>
      </c>
      <c r="U46" s="82">
        <f t="shared" si="25"/>
        <v>1.2319266596996141</v>
      </c>
    </row>
    <row r="47" spans="1:21" ht="16" x14ac:dyDescent="0.2">
      <c r="B47" s="75" t="s">
        <v>57</v>
      </c>
      <c r="C47" s="83">
        <v>12371.847669999999</v>
      </c>
      <c r="D47" s="83">
        <v>858.16066999999998</v>
      </c>
      <c r="E47" s="83">
        <v>17436.29</v>
      </c>
      <c r="F47" s="81">
        <f t="shared" si="21"/>
        <v>4.9216930321759958E-2</v>
      </c>
      <c r="G47" s="85">
        <v>32.5</v>
      </c>
      <c r="H47" s="82">
        <f t="shared" si="22"/>
        <v>1.5995502354571987</v>
      </c>
      <c r="O47" s="75" t="s">
        <v>57</v>
      </c>
      <c r="P47" s="80">
        <v>10891.21</v>
      </c>
      <c r="Q47" s="80">
        <v>689.88620000000003</v>
      </c>
      <c r="R47" s="80">
        <f t="shared" si="23"/>
        <v>11581.0962</v>
      </c>
      <c r="S47" s="81">
        <f t="shared" si="24"/>
        <v>5.9570025849539188E-2</v>
      </c>
      <c r="T47" s="85">
        <v>32.5</v>
      </c>
      <c r="U47" s="82">
        <f t="shared" si="25"/>
        <v>1.9360258401100237</v>
      </c>
    </row>
    <row r="48" spans="1:21" ht="16" x14ac:dyDescent="0.2">
      <c r="B48" s="75" t="s">
        <v>58</v>
      </c>
      <c r="C48" s="83">
        <v>15482.25476</v>
      </c>
      <c r="D48" s="83">
        <v>579.01673000000005</v>
      </c>
      <c r="E48" s="83">
        <v>19238.310000000001</v>
      </c>
      <c r="F48" s="81">
        <f t="shared" si="21"/>
        <v>3.0097068297579153E-2</v>
      </c>
      <c r="G48" s="85">
        <v>37.5</v>
      </c>
      <c r="H48" s="82">
        <f t="shared" si="22"/>
        <v>1.1286400611592182</v>
      </c>
      <c r="O48" s="75" t="s">
        <v>58</v>
      </c>
      <c r="P48" s="80">
        <v>10509.81</v>
      </c>
      <c r="Q48" s="80">
        <v>502.47919999999999</v>
      </c>
      <c r="R48" s="80">
        <f t="shared" si="23"/>
        <v>11012.289199999999</v>
      </c>
      <c r="S48" s="81">
        <f t="shared" si="24"/>
        <v>4.562895060910678E-2</v>
      </c>
      <c r="T48" s="85">
        <v>37.5</v>
      </c>
      <c r="U48" s="82">
        <f t="shared" si="25"/>
        <v>1.7110856478415042</v>
      </c>
    </row>
    <row r="49" spans="1:21" ht="16" x14ac:dyDescent="0.2">
      <c r="B49" s="75" t="s">
        <v>59</v>
      </c>
      <c r="C49" s="83">
        <v>15129.59086</v>
      </c>
      <c r="D49" s="83">
        <v>210.60668999999999</v>
      </c>
      <c r="E49" s="83">
        <v>18005.37</v>
      </c>
      <c r="F49" s="81">
        <f t="shared" si="21"/>
        <v>1.1696882096841109E-2</v>
      </c>
      <c r="G49" s="85">
        <v>42.5</v>
      </c>
      <c r="H49" s="82">
        <f t="shared" si="22"/>
        <v>0.4971174891157471</v>
      </c>
      <c r="O49" s="75" t="s">
        <v>59</v>
      </c>
      <c r="P49" s="80">
        <v>11461.07</v>
      </c>
      <c r="Q49" s="80">
        <v>154.4179</v>
      </c>
      <c r="R49" s="80">
        <f t="shared" si="23"/>
        <v>11615.4879</v>
      </c>
      <c r="S49" s="81">
        <f t="shared" si="24"/>
        <v>1.3294138079210604E-2</v>
      </c>
      <c r="T49" s="85">
        <v>42.5</v>
      </c>
      <c r="U49" s="82">
        <f t="shared" si="25"/>
        <v>0.56500086836645069</v>
      </c>
    </row>
    <row r="50" spans="1:21" ht="16" x14ac:dyDescent="0.2">
      <c r="B50" s="75" t="s">
        <v>60</v>
      </c>
      <c r="C50" s="83">
        <v>12102.15364</v>
      </c>
      <c r="D50" s="83">
        <v>25.83501</v>
      </c>
      <c r="E50" s="83">
        <v>14100.14</v>
      </c>
      <c r="F50" s="81">
        <f t="shared" si="21"/>
        <v>1.8322520201927075E-3</v>
      </c>
      <c r="G50" s="85">
        <v>47.5</v>
      </c>
      <c r="H50" s="82">
        <f t="shared" si="22"/>
        <v>8.7031970959153604E-2</v>
      </c>
      <c r="O50" s="75" t="s">
        <v>60</v>
      </c>
      <c r="P50" s="80">
        <v>12549.95</v>
      </c>
      <c r="Q50" s="80">
        <v>49.678170000000001</v>
      </c>
      <c r="R50" s="80">
        <f t="shared" si="23"/>
        <v>12599.62817</v>
      </c>
      <c r="S50" s="81">
        <f t="shared" si="24"/>
        <v>3.9428282588755154E-3</v>
      </c>
      <c r="T50" s="85">
        <v>47.5</v>
      </c>
      <c r="U50" s="82">
        <f t="shared" si="25"/>
        <v>0.18728434229658697</v>
      </c>
    </row>
    <row r="51" spans="1:21" x14ac:dyDescent="0.2">
      <c r="F51" s="89">
        <f t="shared" ref="F51" si="26">SUM(F44:F50)*5</f>
        <v>1.3755701009706569</v>
      </c>
      <c r="G51" s="79"/>
      <c r="H51" s="82">
        <f>SUM(H44:H50)/SUM(F44:F50)</f>
        <v>27.500345742726601</v>
      </c>
      <c r="S51" s="81">
        <f t="shared" ref="S51" si="27">SUM(S44:S50)*5</f>
        <v>1.0085461779054865</v>
      </c>
      <c r="T51" s="79"/>
      <c r="U51" s="82">
        <f>SUM(U44:U50)/SUM(S44:S50)</f>
        <v>31.586470977790736</v>
      </c>
    </row>
    <row r="52" spans="1:21" x14ac:dyDescent="0.2">
      <c r="A52" s="75" t="s">
        <v>47</v>
      </c>
      <c r="B52" s="75" t="s">
        <v>47</v>
      </c>
      <c r="C52" s="75" t="s">
        <v>174</v>
      </c>
      <c r="D52" s="75" t="s">
        <v>45</v>
      </c>
      <c r="E52" s="75" t="s">
        <v>178</v>
      </c>
      <c r="N52" s="75" t="s">
        <v>47</v>
      </c>
      <c r="O52" s="75" t="s">
        <v>47</v>
      </c>
      <c r="P52" s="75" t="s">
        <v>174</v>
      </c>
      <c r="Q52" s="75" t="s">
        <v>45</v>
      </c>
      <c r="R52" s="75" t="s">
        <v>178</v>
      </c>
    </row>
    <row r="54" spans="1:21" x14ac:dyDescent="0.2">
      <c r="B54" s="75" t="s">
        <v>70</v>
      </c>
      <c r="F54" s="76" t="str">
        <f>E52</f>
        <v>saude</v>
      </c>
      <c r="O54" s="75" t="s">
        <v>71</v>
      </c>
      <c r="S54" s="76" t="str">
        <f>R52</f>
        <v>saude</v>
      </c>
    </row>
    <row r="55" spans="1:21" x14ac:dyDescent="0.2">
      <c r="A55" s="75" t="s">
        <v>48</v>
      </c>
      <c r="B55" s="75">
        <v>0</v>
      </c>
      <c r="C55" s="75">
        <v>1</v>
      </c>
      <c r="E55" s="75" t="s">
        <v>178</v>
      </c>
      <c r="F55" s="77" t="s">
        <v>73</v>
      </c>
      <c r="G55" s="78" t="s">
        <v>75</v>
      </c>
      <c r="H55" s="79"/>
      <c r="N55" s="75" t="s">
        <v>48</v>
      </c>
      <c r="P55" s="75" t="s">
        <v>76</v>
      </c>
      <c r="Q55" s="75" t="s">
        <v>77</v>
      </c>
      <c r="S55" s="77" t="s">
        <v>73</v>
      </c>
      <c r="T55" s="78" t="s">
        <v>75</v>
      </c>
      <c r="U55" s="79"/>
    </row>
    <row r="56" spans="1:21" ht="16" x14ac:dyDescent="0.2">
      <c r="B56" s="75" t="s">
        <v>54</v>
      </c>
      <c r="C56" s="80">
        <v>166.1765</v>
      </c>
      <c r="D56" s="80">
        <v>74.734260000000006</v>
      </c>
      <c r="E56" s="80">
        <v>3025.8800700000002</v>
      </c>
      <c r="F56" s="81">
        <f t="shared" ref="F56:F62" si="28">D56/E56</f>
        <v>2.4698354948350616E-2</v>
      </c>
      <c r="G56" s="84">
        <v>17.5</v>
      </c>
      <c r="H56" s="82">
        <f>G56*F56</f>
        <v>0.43222121159613575</v>
      </c>
      <c r="O56" s="75" t="s">
        <v>54</v>
      </c>
      <c r="P56" s="80">
        <v>1218.377</v>
      </c>
      <c r="Q56" s="80">
        <v>35.922220000000003</v>
      </c>
      <c r="R56" s="80">
        <f>SUM(P56:Q56)</f>
        <v>1254.2992199999999</v>
      </c>
      <c r="S56" s="81">
        <f t="shared" ref="S56:S62" si="29">Q56/R56</f>
        <v>2.8639274765713405E-2</v>
      </c>
      <c r="T56" s="84">
        <v>17.5</v>
      </c>
      <c r="U56" s="82">
        <f>T56*S56</f>
        <v>0.5011873083999846</v>
      </c>
    </row>
    <row r="57" spans="1:21" ht="16" x14ac:dyDescent="0.2">
      <c r="B57" s="75" t="s">
        <v>55</v>
      </c>
      <c r="C57" s="80">
        <v>3087.6309999999999</v>
      </c>
      <c r="D57" s="80">
        <v>887.44839999999999</v>
      </c>
      <c r="E57" s="80">
        <v>11902.7233</v>
      </c>
      <c r="F57" s="81">
        <f t="shared" si="28"/>
        <v>7.4558433194863896E-2</v>
      </c>
      <c r="G57" s="85">
        <v>22.5</v>
      </c>
      <c r="H57" s="82">
        <f t="shared" ref="H57:H62" si="30">G57*F57</f>
        <v>1.6775647468844377</v>
      </c>
      <c r="O57" s="75" t="s">
        <v>55</v>
      </c>
      <c r="P57" s="80">
        <v>17262.09</v>
      </c>
      <c r="Q57" s="80">
        <v>910.63310000000001</v>
      </c>
      <c r="R57" s="80">
        <f t="shared" ref="R57:R62" si="31">SUM(P57:Q57)</f>
        <v>18172.723099999999</v>
      </c>
      <c r="S57" s="81">
        <f t="shared" si="29"/>
        <v>5.0109886943690903E-2</v>
      </c>
      <c r="T57" s="85">
        <v>22.5</v>
      </c>
      <c r="U57" s="82">
        <f t="shared" ref="U57:U62" si="32">T57*S57</f>
        <v>1.1274724562330454</v>
      </c>
    </row>
    <row r="58" spans="1:21" ht="16" x14ac:dyDescent="0.2">
      <c r="B58" s="75" t="s">
        <v>56</v>
      </c>
      <c r="C58" s="80">
        <v>8632.6820000000007</v>
      </c>
      <c r="D58" s="80">
        <v>1592.84</v>
      </c>
      <c r="E58" s="80">
        <v>20198.174599999998</v>
      </c>
      <c r="F58" s="81">
        <f t="shared" si="28"/>
        <v>7.886059168931038E-2</v>
      </c>
      <c r="G58" s="85">
        <v>27.5</v>
      </c>
      <c r="H58" s="82">
        <f t="shared" si="30"/>
        <v>2.1686662714560354</v>
      </c>
      <c r="O58" s="75" t="s">
        <v>56</v>
      </c>
      <c r="P58" s="80">
        <v>40776.11</v>
      </c>
      <c r="Q58" s="80">
        <v>2728.3760000000002</v>
      </c>
      <c r="R58" s="80">
        <f t="shared" si="31"/>
        <v>43504.486000000004</v>
      </c>
      <c r="S58" s="81">
        <f t="shared" si="29"/>
        <v>6.2714819800422414E-2</v>
      </c>
      <c r="T58" s="85">
        <v>27.5</v>
      </c>
      <c r="U58" s="82">
        <f t="shared" si="32"/>
        <v>1.7246575445116163</v>
      </c>
    </row>
    <row r="59" spans="1:21" ht="16" x14ac:dyDescent="0.2">
      <c r="B59" s="75" t="s">
        <v>57</v>
      </c>
      <c r="C59" s="80">
        <v>18973.330000000002</v>
      </c>
      <c r="D59" s="80">
        <v>2035.8989999999999</v>
      </c>
      <c r="E59" s="80">
        <v>28478.075390000002</v>
      </c>
      <c r="F59" s="81">
        <f t="shared" si="28"/>
        <v>7.1490048822432026E-2</v>
      </c>
      <c r="G59" s="85">
        <v>32.5</v>
      </c>
      <c r="H59" s="82">
        <f t="shared" si="30"/>
        <v>2.3234265867290409</v>
      </c>
      <c r="O59" s="75" t="s">
        <v>57</v>
      </c>
      <c r="P59" s="80">
        <v>47452.2</v>
      </c>
      <c r="Q59" s="80">
        <v>3482.9580000000001</v>
      </c>
      <c r="R59" s="80">
        <f t="shared" si="31"/>
        <v>50935.157999999996</v>
      </c>
      <c r="S59" s="81">
        <f t="shared" si="29"/>
        <v>6.8380233551057212E-2</v>
      </c>
      <c r="T59" s="85">
        <v>32.5</v>
      </c>
      <c r="U59" s="82">
        <f t="shared" si="32"/>
        <v>2.2223575904093593</v>
      </c>
    </row>
    <row r="60" spans="1:21" ht="16" x14ac:dyDescent="0.2">
      <c r="B60" s="75" t="s">
        <v>58</v>
      </c>
      <c r="C60" s="80">
        <v>26587.279999999999</v>
      </c>
      <c r="D60" s="80">
        <v>1018.6079999999999</v>
      </c>
      <c r="E60" s="80">
        <v>33229.751029999999</v>
      </c>
      <c r="F60" s="81">
        <f t="shared" si="28"/>
        <v>3.0653494787860287E-2</v>
      </c>
      <c r="G60" s="85">
        <v>37.5</v>
      </c>
      <c r="H60" s="82">
        <f t="shared" si="30"/>
        <v>1.1495060545447608</v>
      </c>
      <c r="O60" s="75" t="s">
        <v>58</v>
      </c>
      <c r="P60" s="80">
        <v>45892.79</v>
      </c>
      <c r="Q60" s="80">
        <v>1959.7629999999999</v>
      </c>
      <c r="R60" s="80">
        <f t="shared" si="31"/>
        <v>47852.553</v>
      </c>
      <c r="S60" s="81">
        <f t="shared" si="29"/>
        <v>4.0954199455147146E-2</v>
      </c>
      <c r="T60" s="85">
        <v>37.5</v>
      </c>
      <c r="U60" s="82">
        <f t="shared" si="32"/>
        <v>1.5357824795680179</v>
      </c>
    </row>
    <row r="61" spans="1:21" ht="16" x14ac:dyDescent="0.2">
      <c r="B61" s="75" t="s">
        <v>59</v>
      </c>
      <c r="C61" s="80">
        <v>27911.06</v>
      </c>
      <c r="D61" s="80">
        <v>377.11709999999999</v>
      </c>
      <c r="E61" s="80">
        <v>33209.344899999996</v>
      </c>
      <c r="F61" s="81">
        <f t="shared" si="28"/>
        <v>1.1355752458700262E-2</v>
      </c>
      <c r="G61" s="85">
        <v>42.5</v>
      </c>
      <c r="H61" s="82">
        <f t="shared" si="30"/>
        <v>0.48261947949476114</v>
      </c>
      <c r="O61" s="75" t="s">
        <v>59</v>
      </c>
      <c r="P61" s="80">
        <v>47739.24</v>
      </c>
      <c r="Q61" s="80">
        <v>649.024</v>
      </c>
      <c r="R61" s="80">
        <f t="shared" si="31"/>
        <v>48388.263999999996</v>
      </c>
      <c r="S61" s="81">
        <f t="shared" si="29"/>
        <v>1.3412839113219686E-2</v>
      </c>
      <c r="T61" s="85">
        <v>42.5</v>
      </c>
      <c r="U61" s="82">
        <f t="shared" si="32"/>
        <v>0.57004566231183662</v>
      </c>
    </row>
    <row r="62" spans="1:21" ht="16" x14ac:dyDescent="0.2">
      <c r="B62" s="75" t="s">
        <v>60</v>
      </c>
      <c r="C62" s="80">
        <v>21277.53</v>
      </c>
      <c r="D62" s="80">
        <v>32.721609999999998</v>
      </c>
      <c r="E62" s="80">
        <v>25082.275310000001</v>
      </c>
      <c r="F62" s="81">
        <f t="shared" si="28"/>
        <v>1.3045710405289383E-3</v>
      </c>
      <c r="G62" s="85">
        <v>47.5</v>
      </c>
      <c r="H62" s="82">
        <f t="shared" si="30"/>
        <v>6.1967124425124573E-2</v>
      </c>
      <c r="O62" s="75" t="s">
        <v>60</v>
      </c>
      <c r="P62" s="80">
        <v>48028.21</v>
      </c>
      <c r="Q62" s="80">
        <v>33.627630000000003</v>
      </c>
      <c r="R62" s="80">
        <f t="shared" si="31"/>
        <v>48061.837630000002</v>
      </c>
      <c r="S62" s="81">
        <f t="shared" si="29"/>
        <v>6.9967424589295721E-4</v>
      </c>
      <c r="T62" s="85">
        <v>47.5</v>
      </c>
      <c r="U62" s="82">
        <f t="shared" si="32"/>
        <v>3.3234526679915465E-2</v>
      </c>
    </row>
    <row r="63" spans="1:21" x14ac:dyDescent="0.2">
      <c r="F63" s="89">
        <f t="shared" ref="F63" si="33">SUM(F56:F62)*5</f>
        <v>1.464606234710232</v>
      </c>
      <c r="G63" s="79"/>
      <c r="H63" s="82">
        <f>SUM(H56:H62)/SUM(F56:F62)</f>
        <v>28.321508124576674</v>
      </c>
      <c r="S63" s="89">
        <f t="shared" ref="S63" si="34">SUM(S56:S62)*5</f>
        <v>1.3245546393757186</v>
      </c>
      <c r="T63" s="79"/>
      <c r="U63" s="82">
        <f>SUM(U56:U62)/SUM(S56:S62)</f>
        <v>29.122005762441944</v>
      </c>
    </row>
    <row r="65" spans="3:17" x14ac:dyDescent="0.2">
      <c r="D65" s="181" t="s">
        <v>195</v>
      </c>
      <c r="E65" s="181"/>
      <c r="F65" s="181" t="s">
        <v>196</v>
      </c>
      <c r="G65" s="181"/>
    </row>
    <row r="66" spans="3:17" x14ac:dyDescent="0.2">
      <c r="D66" s="75">
        <v>2000</v>
      </c>
      <c r="E66" s="75">
        <v>2010</v>
      </c>
      <c r="F66" s="75">
        <v>2000</v>
      </c>
      <c r="G66" s="75">
        <v>2010</v>
      </c>
    </row>
    <row r="67" spans="3:17" x14ac:dyDescent="0.2">
      <c r="C67" s="75" t="str">
        <f>E19</f>
        <v>adm_e_gestao_publica</v>
      </c>
      <c r="D67" s="86">
        <f>F27</f>
        <v>1.4309588671154641</v>
      </c>
      <c r="E67" s="86">
        <f>S27</f>
        <v>1.2882634982721599</v>
      </c>
      <c r="F67" s="102">
        <f>H27</f>
        <v>28.048407416299231</v>
      </c>
      <c r="G67" s="102">
        <f>U27</f>
        <v>29.495672805941116</v>
      </c>
      <c r="P67" s="87"/>
      <c r="Q67" s="87"/>
    </row>
    <row r="68" spans="3:17" x14ac:dyDescent="0.2">
      <c r="C68" s="75" t="str">
        <f>F30</f>
        <v>educacao</v>
      </c>
      <c r="D68" s="86">
        <f>F39</f>
        <v>1.5605382505848175</v>
      </c>
      <c r="E68" s="86">
        <f>S39</f>
        <v>1.3327026497898955</v>
      </c>
      <c r="F68" s="102">
        <f>H39</f>
        <v>27.761886552547985</v>
      </c>
      <c r="G68" s="102">
        <f>U39</f>
        <v>29.499187620202605</v>
      </c>
      <c r="P68" s="87"/>
      <c r="Q68" s="87"/>
    </row>
    <row r="69" spans="3:17" x14ac:dyDescent="0.2">
      <c r="C69" s="75" t="str">
        <f>F54</f>
        <v>saude</v>
      </c>
      <c r="D69" s="86">
        <f>F63</f>
        <v>1.464606234710232</v>
      </c>
      <c r="E69" s="86">
        <f>S63</f>
        <v>1.3245546393757186</v>
      </c>
      <c r="F69" s="102">
        <f>H63</f>
        <v>28.321508124576674</v>
      </c>
      <c r="G69" s="102">
        <f>U63</f>
        <v>29.122005762441944</v>
      </c>
      <c r="P69" s="87"/>
      <c r="Q69" s="87"/>
    </row>
    <row r="70" spans="3:17" x14ac:dyDescent="0.2">
      <c r="C70" s="75" t="str">
        <f>F42</f>
        <v>outras</v>
      </c>
      <c r="D70" s="86">
        <f>F51</f>
        <v>1.3755701009706569</v>
      </c>
      <c r="E70" s="86">
        <f>S51</f>
        <v>1.0085461779054865</v>
      </c>
      <c r="F70" s="102">
        <f>H51</f>
        <v>27.500345742726601</v>
      </c>
      <c r="G70" s="102">
        <f>U51</f>
        <v>31.586470977790736</v>
      </c>
      <c r="P70" s="87"/>
      <c r="Q70" s="87"/>
    </row>
    <row r="71" spans="3:17" x14ac:dyDescent="0.2">
      <c r="C71" s="75" t="s">
        <v>188</v>
      </c>
      <c r="D71" s="86">
        <f>F14</f>
        <v>1.5067294542351697</v>
      </c>
      <c r="E71" s="86">
        <f>O14</f>
        <v>1.2983218758833701</v>
      </c>
      <c r="F71" s="102">
        <f>H14</f>
        <v>27.845267166256846</v>
      </c>
      <c r="G71" s="102">
        <f>Q14</f>
        <v>29.498136114138884</v>
      </c>
      <c r="H71" s="83"/>
      <c r="I71" s="83"/>
      <c r="J71" s="83"/>
      <c r="P71" s="87"/>
      <c r="Q71" s="87"/>
    </row>
    <row r="72" spans="3:17" x14ac:dyDescent="0.2">
      <c r="E72" s="86"/>
      <c r="G72" s="83"/>
      <c r="H72" s="83"/>
      <c r="I72" s="83"/>
      <c r="J72" s="83"/>
      <c r="P72" s="87"/>
      <c r="Q72" s="87"/>
    </row>
    <row r="73" spans="3:17" x14ac:dyDescent="0.2">
      <c r="G73" s="83"/>
      <c r="H73" s="83"/>
      <c r="I73" s="83"/>
      <c r="J73" s="83"/>
      <c r="P73" s="87"/>
      <c r="Q73" s="87"/>
    </row>
    <row r="74" spans="3:17" x14ac:dyDescent="0.2">
      <c r="G74" s="83"/>
      <c r="H74" s="83"/>
      <c r="I74" s="83"/>
      <c r="J74" s="83"/>
    </row>
    <row r="75" spans="3:17" x14ac:dyDescent="0.2">
      <c r="G75" s="83"/>
      <c r="H75" s="83"/>
      <c r="I75" s="83"/>
      <c r="J75" s="83"/>
    </row>
    <row r="76" spans="3:17" x14ac:dyDescent="0.2">
      <c r="G76" s="83"/>
      <c r="H76" s="83"/>
      <c r="I76" s="83"/>
      <c r="J76" s="83"/>
    </row>
    <row r="77" spans="3:17" x14ac:dyDescent="0.2">
      <c r="G77" s="83"/>
      <c r="H77" s="83"/>
      <c r="I77" s="83"/>
      <c r="J77" s="83"/>
    </row>
  </sheetData>
  <mergeCells count="2">
    <mergeCell ref="D65:E65"/>
    <mergeCell ref="F65:G65"/>
  </mergeCell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4CE58-C22C-054B-9255-A88C1CB529B2}">
  <dimension ref="A1:AJ1000"/>
  <sheetViews>
    <sheetView workbookViewId="0">
      <selection activeCell="K13" sqref="K13:O13"/>
    </sheetView>
  </sheetViews>
  <sheetFormatPr baseColWidth="10" defaultColWidth="12.5" defaultRowHeight="15" customHeight="1" x14ac:dyDescent="0.2"/>
  <cols>
    <col min="1" max="28" width="8.5" style="1" customWidth="1"/>
    <col min="29" max="29" width="9.33203125" style="1" customWidth="1"/>
    <col min="30" max="36" width="8.5" style="1" customWidth="1"/>
    <col min="37" max="16384" width="12.5" style="1"/>
  </cols>
  <sheetData>
    <row r="1" spans="1:32" x14ac:dyDescent="0.2">
      <c r="A1" s="10" t="s">
        <v>42</v>
      </c>
      <c r="B1" s="10" t="s">
        <v>95</v>
      </c>
      <c r="C1" s="10" t="s">
        <v>44</v>
      </c>
      <c r="D1" s="10" t="s">
        <v>45</v>
      </c>
      <c r="E1" s="10" t="s">
        <v>84</v>
      </c>
      <c r="Q1" s="10" t="s">
        <v>42</v>
      </c>
      <c r="R1" s="10" t="s">
        <v>95</v>
      </c>
      <c r="S1" s="10" t="s">
        <v>44</v>
      </c>
      <c r="T1" s="10" t="s">
        <v>45</v>
      </c>
      <c r="U1" s="10" t="s">
        <v>86</v>
      </c>
    </row>
    <row r="2" spans="1:32" x14ac:dyDescent="0.2">
      <c r="A2" s="10" t="s">
        <v>47</v>
      </c>
      <c r="B2" s="10" t="s">
        <v>47</v>
      </c>
      <c r="C2" s="10" t="s">
        <v>87</v>
      </c>
      <c r="D2" s="10" t="s">
        <v>45</v>
      </c>
      <c r="E2" s="10" t="s">
        <v>88</v>
      </c>
      <c r="Q2" s="10" t="s">
        <v>47</v>
      </c>
      <c r="R2" s="10" t="s">
        <v>47</v>
      </c>
      <c r="S2" s="10" t="s">
        <v>87</v>
      </c>
      <c r="T2" s="10" t="s">
        <v>45</v>
      </c>
      <c r="U2" s="10" t="s">
        <v>88</v>
      </c>
    </row>
    <row r="3" spans="1:32" x14ac:dyDescent="0.2">
      <c r="K3" s="175" t="str">
        <f>E2</f>
        <v>funcionario_publico</v>
      </c>
      <c r="L3" s="176"/>
      <c r="M3" s="176"/>
      <c r="N3" s="176"/>
      <c r="O3" s="177"/>
      <c r="AA3" s="175" t="str">
        <f>U2</f>
        <v>funcionario_publico</v>
      </c>
      <c r="AB3" s="176"/>
      <c r="AC3" s="176"/>
      <c r="AD3" s="176"/>
      <c r="AE3" s="177"/>
    </row>
    <row r="4" spans="1:32" ht="19.5" customHeight="1" x14ac:dyDescent="0.2">
      <c r="B4" s="10" t="s">
        <v>48</v>
      </c>
      <c r="K4" s="25" t="s">
        <v>49</v>
      </c>
      <c r="L4" s="26" t="s">
        <v>50</v>
      </c>
      <c r="M4" s="26" t="s">
        <v>51</v>
      </c>
      <c r="N4" s="26" t="s">
        <v>52</v>
      </c>
      <c r="O4" s="25" t="s">
        <v>53</v>
      </c>
      <c r="R4" s="10" t="s">
        <v>48</v>
      </c>
      <c r="AA4" s="25" t="s">
        <v>49</v>
      </c>
      <c r="AB4" s="26" t="s">
        <v>50</v>
      </c>
      <c r="AC4" s="26" t="s">
        <v>51</v>
      </c>
      <c r="AD4" s="26" t="s">
        <v>52</v>
      </c>
      <c r="AE4" s="25" t="s">
        <v>53</v>
      </c>
    </row>
    <row r="5" spans="1:32" x14ac:dyDescent="0.2">
      <c r="A5" s="10" t="s">
        <v>49</v>
      </c>
      <c r="C5" s="10" t="s">
        <v>54</v>
      </c>
      <c r="D5" s="10" t="s">
        <v>55</v>
      </c>
      <c r="E5" s="10" t="s">
        <v>56</v>
      </c>
      <c r="F5" s="10" t="s">
        <v>57</v>
      </c>
      <c r="G5" s="10" t="s">
        <v>58</v>
      </c>
      <c r="H5" s="10" t="s">
        <v>59</v>
      </c>
      <c r="I5" s="10" t="s">
        <v>60</v>
      </c>
      <c r="K5" s="27">
        <v>0</v>
      </c>
      <c r="L5" s="28">
        <f t="shared" ref="L5:L9" si="0">I6</f>
        <v>37356.07</v>
      </c>
      <c r="M5" s="28">
        <f t="shared" ref="M5:M9" si="1">SUM($L5:L$9)</f>
        <v>249472.13</v>
      </c>
      <c r="N5" s="29">
        <f t="shared" ref="N5:N8" si="2">M6/M5</f>
        <v>0.85025954602624343</v>
      </c>
      <c r="O5" s="30" t="s">
        <v>61</v>
      </c>
      <c r="P5" s="59">
        <f>N5+N5*N6+N5*N6*N7+N5*N6*N7*N8</f>
        <v>2.2518033577538299</v>
      </c>
      <c r="Q5" s="10" t="s">
        <v>49</v>
      </c>
      <c r="R5" s="10" t="s">
        <v>54</v>
      </c>
      <c r="S5" s="10" t="s">
        <v>55</v>
      </c>
      <c r="T5" s="10" t="s">
        <v>56</v>
      </c>
      <c r="U5" s="10" t="s">
        <v>57</v>
      </c>
      <c r="V5" s="10" t="s">
        <v>58</v>
      </c>
      <c r="W5" s="10" t="s">
        <v>59</v>
      </c>
      <c r="X5" s="10" t="s">
        <v>60</v>
      </c>
      <c r="AA5" s="27">
        <v>0</v>
      </c>
      <c r="AB5" s="28">
        <f t="shared" ref="AB5:AB9" si="3">Y6</f>
        <v>64049.11</v>
      </c>
      <c r="AC5" s="28">
        <f t="shared" ref="AC5:AC9" si="4">SUM($AB5:AB$9)</f>
        <v>405195.35</v>
      </c>
      <c r="AD5" s="29">
        <f t="shared" ref="AD5:AD8" si="5">AC6/AC5</f>
        <v>0.84193029362256999</v>
      </c>
      <c r="AE5" s="30" t="s">
        <v>61</v>
      </c>
      <c r="AF5" s="59">
        <f>AD5+AD5*AD6+AD5*AD6*AD7+AD5*AD6*AD7*AD8</f>
        <v>1.8526501352989366</v>
      </c>
    </row>
    <row r="6" spans="1:32" x14ac:dyDescent="0.2">
      <c r="B6" s="10">
        <v>0</v>
      </c>
      <c r="C6" s="57">
        <v>41234.720000000001</v>
      </c>
      <c r="D6" s="57">
        <v>114072.9</v>
      </c>
      <c r="E6" s="57">
        <v>111359.1</v>
      </c>
      <c r="F6" s="57">
        <v>82902.81</v>
      </c>
      <c r="G6" s="57">
        <v>63317.51</v>
      </c>
      <c r="H6" s="57">
        <v>47140.2</v>
      </c>
      <c r="I6" s="57">
        <v>37356.07</v>
      </c>
      <c r="K6" s="27">
        <v>1</v>
      </c>
      <c r="L6" s="28">
        <f t="shared" si="0"/>
        <v>30471.29</v>
      </c>
      <c r="M6" s="28">
        <f t="shared" si="1"/>
        <v>212116.06</v>
      </c>
      <c r="N6" s="29">
        <f t="shared" si="2"/>
        <v>0.85634614371019335</v>
      </c>
      <c r="O6" s="30" t="s">
        <v>62</v>
      </c>
      <c r="R6" s="10">
        <v>0</v>
      </c>
      <c r="S6" s="57">
        <v>11624.63</v>
      </c>
      <c r="T6" s="57">
        <v>91917.41</v>
      </c>
      <c r="U6" s="57">
        <v>155555.29999999999</v>
      </c>
      <c r="V6" s="57">
        <v>120959.1</v>
      </c>
      <c r="W6" s="57">
        <v>79087.210000000006</v>
      </c>
      <c r="X6" s="57">
        <v>69620.960000000006</v>
      </c>
      <c r="Y6" s="57">
        <v>64049.11</v>
      </c>
      <c r="AA6" s="27">
        <v>1</v>
      </c>
      <c r="AB6" s="28">
        <f t="shared" si="3"/>
        <v>75909.17</v>
      </c>
      <c r="AC6" s="28">
        <f t="shared" si="4"/>
        <v>341146.24</v>
      </c>
      <c r="AD6" s="29">
        <f t="shared" si="5"/>
        <v>0.77748788906481847</v>
      </c>
      <c r="AE6" s="30" t="s">
        <v>62</v>
      </c>
    </row>
    <row r="7" spans="1:32" x14ac:dyDescent="0.2">
      <c r="B7" s="10">
        <v>1</v>
      </c>
      <c r="C7" s="57">
        <v>3925.5279999999998</v>
      </c>
      <c r="D7" s="57">
        <v>37069.919999999998</v>
      </c>
      <c r="E7" s="57">
        <v>64614.05</v>
      </c>
      <c r="F7" s="57">
        <v>75049.42</v>
      </c>
      <c r="G7" s="57">
        <v>64449.51</v>
      </c>
      <c r="H7" s="57">
        <v>47157.51</v>
      </c>
      <c r="I7" s="57">
        <v>30471.29</v>
      </c>
      <c r="K7" s="27">
        <v>2</v>
      </c>
      <c r="L7" s="28">
        <f t="shared" si="0"/>
        <v>68292.289999999994</v>
      </c>
      <c r="M7" s="28">
        <f t="shared" si="1"/>
        <v>181644.77</v>
      </c>
      <c r="N7" s="29">
        <f t="shared" si="2"/>
        <v>0.62403382161787546</v>
      </c>
      <c r="O7" s="30" t="s">
        <v>63</v>
      </c>
      <c r="R7" s="10">
        <v>1</v>
      </c>
      <c r="S7" s="57">
        <v>972.50699999999995</v>
      </c>
      <c r="T7" s="57">
        <v>21823.17</v>
      </c>
      <c r="U7" s="57">
        <v>74569.97</v>
      </c>
      <c r="V7" s="57">
        <v>113349.4</v>
      </c>
      <c r="W7" s="57">
        <v>100247</v>
      </c>
      <c r="X7" s="57">
        <v>87833.32</v>
      </c>
      <c r="Y7" s="57">
        <v>75909.17</v>
      </c>
      <c r="AA7" s="27">
        <v>2</v>
      </c>
      <c r="AB7" s="28">
        <f t="shared" si="3"/>
        <v>155079.5</v>
      </c>
      <c r="AC7" s="28">
        <f t="shared" si="4"/>
        <v>265237.06999999995</v>
      </c>
      <c r="AD7" s="29">
        <f t="shared" si="5"/>
        <v>0.41531739888394942</v>
      </c>
      <c r="AE7" s="30" t="s">
        <v>63</v>
      </c>
    </row>
    <row r="8" spans="1:32" x14ac:dyDescent="0.2">
      <c r="B8" s="10">
        <v>2</v>
      </c>
      <c r="C8" s="57">
        <v>597.33299999999997</v>
      </c>
      <c r="D8" s="57">
        <v>12516.01</v>
      </c>
      <c r="E8" s="57">
        <v>42723.97</v>
      </c>
      <c r="F8" s="57">
        <v>89770.61</v>
      </c>
      <c r="G8" s="57">
        <v>116333.9</v>
      </c>
      <c r="H8" s="57">
        <v>99274.69</v>
      </c>
      <c r="I8" s="57">
        <v>68292.289999999994</v>
      </c>
      <c r="K8" s="27">
        <v>3</v>
      </c>
      <c r="L8" s="28">
        <f t="shared" si="0"/>
        <v>58703.61</v>
      </c>
      <c r="M8" s="28">
        <f t="shared" si="1"/>
        <v>113352.48000000001</v>
      </c>
      <c r="N8" s="29">
        <f t="shared" si="2"/>
        <v>0.48211446278017028</v>
      </c>
      <c r="O8" s="32" t="s">
        <v>64</v>
      </c>
      <c r="R8" s="10">
        <v>2</v>
      </c>
      <c r="S8" s="57">
        <v>114.3296</v>
      </c>
      <c r="T8" s="57">
        <v>5488.8059999999996</v>
      </c>
      <c r="U8" s="57">
        <v>32964.410000000003</v>
      </c>
      <c r="V8" s="57">
        <v>85835.65</v>
      </c>
      <c r="W8" s="57">
        <v>127981.2</v>
      </c>
      <c r="X8" s="57">
        <v>151986.70000000001</v>
      </c>
      <c r="Y8" s="57">
        <v>155079.5</v>
      </c>
      <c r="AA8" s="27">
        <v>3</v>
      </c>
      <c r="AB8" s="28">
        <f t="shared" si="3"/>
        <v>76013.23</v>
      </c>
      <c r="AC8" s="28">
        <f t="shared" si="4"/>
        <v>110157.56999999999</v>
      </c>
      <c r="AD8" s="29">
        <f t="shared" si="5"/>
        <v>0.30995908860371557</v>
      </c>
      <c r="AE8" s="32" t="s">
        <v>64</v>
      </c>
    </row>
    <row r="9" spans="1:32" x14ac:dyDescent="0.2">
      <c r="B9" s="10">
        <v>3</v>
      </c>
      <c r="C9" s="57">
        <v>156.48339999999999</v>
      </c>
      <c r="D9" s="57">
        <v>3819.09</v>
      </c>
      <c r="E9" s="57">
        <v>15801.37</v>
      </c>
      <c r="F9" s="57">
        <v>39522.269999999997</v>
      </c>
      <c r="G9" s="57">
        <v>61372.87</v>
      </c>
      <c r="H9" s="57">
        <v>69376.19</v>
      </c>
      <c r="I9" s="57">
        <v>58703.61</v>
      </c>
      <c r="K9" s="27" t="s">
        <v>64</v>
      </c>
      <c r="L9" s="28">
        <f t="shared" si="0"/>
        <v>54648.87</v>
      </c>
      <c r="M9" s="28">
        <f t="shared" si="1"/>
        <v>54648.87</v>
      </c>
      <c r="N9" s="33" t="s">
        <v>65</v>
      </c>
      <c r="O9" s="32"/>
      <c r="R9" s="10">
        <v>3</v>
      </c>
      <c r="S9" s="57">
        <v>13.69486</v>
      </c>
      <c r="T9" s="57">
        <v>1052.53</v>
      </c>
      <c r="U9" s="57">
        <v>8863.7939999999999</v>
      </c>
      <c r="V9" s="57">
        <v>28401.08</v>
      </c>
      <c r="W9" s="57">
        <v>47620.98</v>
      </c>
      <c r="X9" s="57">
        <v>64874.28</v>
      </c>
      <c r="Y9" s="57">
        <v>76013.23</v>
      </c>
      <c r="AA9" s="27" t="s">
        <v>64</v>
      </c>
      <c r="AB9" s="28">
        <f t="shared" si="3"/>
        <v>34144.339999999997</v>
      </c>
      <c r="AC9" s="28">
        <f t="shared" si="4"/>
        <v>34144.339999999997</v>
      </c>
      <c r="AD9" s="33" t="s">
        <v>65</v>
      </c>
      <c r="AE9" s="32"/>
    </row>
    <row r="10" spans="1:32" x14ac:dyDescent="0.2">
      <c r="B10" s="10" t="s">
        <v>64</v>
      </c>
      <c r="C10" s="57">
        <v>48.65119</v>
      </c>
      <c r="D10" s="57">
        <v>1447.8219999999999</v>
      </c>
      <c r="E10" s="57">
        <v>7225.9660000000003</v>
      </c>
      <c r="F10" s="57">
        <v>20009.75</v>
      </c>
      <c r="G10" s="57">
        <v>36957.300000000003</v>
      </c>
      <c r="H10" s="57">
        <v>50978.39</v>
      </c>
      <c r="I10" s="57">
        <v>54648.87</v>
      </c>
      <c r="R10" s="10" t="s">
        <v>64</v>
      </c>
      <c r="S10" s="57">
        <v>4.9216470000000001</v>
      </c>
      <c r="T10" s="57">
        <v>284.88069999999999</v>
      </c>
      <c r="U10" s="57">
        <v>2596.864</v>
      </c>
      <c r="V10" s="57">
        <v>9683.4639999999999</v>
      </c>
      <c r="W10" s="57">
        <v>16107.39</v>
      </c>
      <c r="X10" s="57">
        <v>25803.919999999998</v>
      </c>
      <c r="Y10" s="57">
        <v>34144.339999999997</v>
      </c>
    </row>
    <row r="12" spans="1:32" x14ac:dyDescent="0.2">
      <c r="A12" s="10" t="s">
        <v>47</v>
      </c>
      <c r="B12" s="10" t="s">
        <v>47</v>
      </c>
      <c r="C12" s="10" t="s">
        <v>87</v>
      </c>
      <c r="D12" s="10" t="s">
        <v>45</v>
      </c>
      <c r="E12" s="10" t="s">
        <v>90</v>
      </c>
      <c r="Q12" s="10" t="s">
        <v>47</v>
      </c>
      <c r="R12" s="10" t="s">
        <v>47</v>
      </c>
      <c r="S12" s="10" t="s">
        <v>87</v>
      </c>
      <c r="T12" s="10" t="s">
        <v>45</v>
      </c>
      <c r="U12" s="10" t="s">
        <v>90</v>
      </c>
    </row>
    <row r="13" spans="1:32" x14ac:dyDescent="0.2">
      <c r="K13" s="175" t="str">
        <f>E12</f>
        <v>informal</v>
      </c>
      <c r="L13" s="176"/>
      <c r="M13" s="176"/>
      <c r="N13" s="176"/>
      <c r="O13" s="177"/>
      <c r="AA13" s="175" t="str">
        <f>U12</f>
        <v>informal</v>
      </c>
      <c r="AB13" s="176"/>
      <c r="AC13" s="176"/>
      <c r="AD13" s="176"/>
      <c r="AE13" s="177"/>
    </row>
    <row r="14" spans="1:32" ht="20.25" customHeight="1" x14ac:dyDescent="0.2">
      <c r="B14" s="10" t="s">
        <v>48</v>
      </c>
      <c r="K14" s="25" t="s">
        <v>49</v>
      </c>
      <c r="L14" s="26" t="s">
        <v>50</v>
      </c>
      <c r="M14" s="26" t="s">
        <v>51</v>
      </c>
      <c r="N14" s="26" t="s">
        <v>52</v>
      </c>
      <c r="O14" s="25" t="s">
        <v>53</v>
      </c>
      <c r="R14" s="10" t="s">
        <v>48</v>
      </c>
      <c r="AA14" s="25" t="s">
        <v>49</v>
      </c>
      <c r="AB14" s="26" t="s">
        <v>50</v>
      </c>
      <c r="AC14" s="26" t="s">
        <v>51</v>
      </c>
      <c r="AD14" s="26" t="s">
        <v>52</v>
      </c>
      <c r="AE14" s="25" t="s">
        <v>53</v>
      </c>
    </row>
    <row r="15" spans="1:32" x14ac:dyDescent="0.2">
      <c r="A15" s="10" t="s">
        <v>49</v>
      </c>
      <c r="C15" s="10" t="s">
        <v>54</v>
      </c>
      <c r="D15" s="10" t="s">
        <v>55</v>
      </c>
      <c r="E15" s="10" t="s">
        <v>56</v>
      </c>
      <c r="F15" s="10" t="s">
        <v>57</v>
      </c>
      <c r="G15" s="10" t="s">
        <v>58</v>
      </c>
      <c r="H15" s="10" t="s">
        <v>59</v>
      </c>
      <c r="I15" s="10" t="s">
        <v>60</v>
      </c>
      <c r="K15" s="27">
        <v>0</v>
      </c>
      <c r="L15" s="28">
        <f t="shared" ref="L15:L19" si="6">I16</f>
        <v>67889.41</v>
      </c>
      <c r="M15" s="28">
        <f t="shared" ref="M15:M19" si="7">SUM($L15:L$19)</f>
        <v>830843.28</v>
      </c>
      <c r="N15" s="29">
        <f t="shared" ref="N15:N18" si="8">M16/M15</f>
        <v>0.91828854895474388</v>
      </c>
      <c r="O15" s="30" t="s">
        <v>61</v>
      </c>
      <c r="P15" s="59">
        <f>N15+N15*N16+N15*N16*N17+N15*N16*N17*N18</f>
        <v>2.7841078163381185</v>
      </c>
      <c r="Q15" s="10" t="s">
        <v>49</v>
      </c>
      <c r="R15" s="10" t="s">
        <v>54</v>
      </c>
      <c r="S15" s="10" t="s">
        <v>55</v>
      </c>
      <c r="T15" s="10" t="s">
        <v>56</v>
      </c>
      <c r="U15" s="10" t="s">
        <v>57</v>
      </c>
      <c r="V15" s="10" t="s">
        <v>58</v>
      </c>
      <c r="W15" s="10" t="s">
        <v>59</v>
      </c>
      <c r="X15" s="10" t="s">
        <v>60</v>
      </c>
      <c r="AA15" s="27">
        <v>0</v>
      </c>
      <c r="AB15" s="28">
        <f t="shared" ref="AB15:AB19" si="9">Y16</f>
        <v>126757.9</v>
      </c>
      <c r="AC15" s="28">
        <f t="shared" ref="AC15:AC19" si="10">SUM($AB15:AB$19)</f>
        <v>1314694.6000000001</v>
      </c>
      <c r="AD15" s="29">
        <f t="shared" ref="AD15:AD18" si="11">AC16/AC15</f>
        <v>0.90358376766741122</v>
      </c>
      <c r="AE15" s="30" t="s">
        <v>61</v>
      </c>
      <c r="AF15" s="59">
        <f>AD15+AD15*AD16+AD15*AD16*AD17+AD15*AD16*AD17*AD18</f>
        <v>2.3926567432466825</v>
      </c>
    </row>
    <row r="16" spans="1:32" x14ac:dyDescent="0.2">
      <c r="B16" s="10">
        <v>0</v>
      </c>
      <c r="C16" s="57">
        <v>1135867</v>
      </c>
      <c r="D16" s="57">
        <v>898915.2</v>
      </c>
      <c r="E16" s="57">
        <v>428876.79999999999</v>
      </c>
      <c r="F16" s="57">
        <v>220521.9</v>
      </c>
      <c r="G16" s="57">
        <v>137808.9</v>
      </c>
      <c r="H16" s="57">
        <v>88883.45</v>
      </c>
      <c r="I16" s="57">
        <v>67889.41</v>
      </c>
      <c r="K16" s="27">
        <v>1</v>
      </c>
      <c r="L16" s="28">
        <f t="shared" si="6"/>
        <v>75356.17</v>
      </c>
      <c r="M16" s="28">
        <f t="shared" si="7"/>
        <v>762953.87</v>
      </c>
      <c r="N16" s="29">
        <f t="shared" si="8"/>
        <v>0.90123102724415038</v>
      </c>
      <c r="O16" s="30" t="s">
        <v>62</v>
      </c>
      <c r="R16" s="10">
        <v>0</v>
      </c>
      <c r="S16" s="57">
        <v>925265.1</v>
      </c>
      <c r="T16" s="57">
        <v>958425.59999999998</v>
      </c>
      <c r="U16" s="57">
        <v>603180.19999999995</v>
      </c>
      <c r="V16" s="57">
        <v>328413</v>
      </c>
      <c r="W16" s="57">
        <v>203850.8</v>
      </c>
      <c r="X16" s="57">
        <v>156913.5</v>
      </c>
      <c r="Y16" s="57">
        <v>126757.9</v>
      </c>
      <c r="AA16" s="27">
        <v>1</v>
      </c>
      <c r="AB16" s="28">
        <f t="shared" si="9"/>
        <v>169554.6</v>
      </c>
      <c r="AC16" s="28">
        <f t="shared" si="10"/>
        <v>1187936.7000000002</v>
      </c>
      <c r="AD16" s="29">
        <f t="shared" si="11"/>
        <v>0.85726966765148327</v>
      </c>
      <c r="AE16" s="30" t="s">
        <v>62</v>
      </c>
    </row>
    <row r="17" spans="1:32" x14ac:dyDescent="0.2">
      <c r="B17" s="10">
        <v>1</v>
      </c>
      <c r="C17" s="57">
        <v>132728.5</v>
      </c>
      <c r="D17" s="57">
        <v>372207.6</v>
      </c>
      <c r="E17" s="57">
        <v>347015.7</v>
      </c>
      <c r="F17" s="57">
        <v>256344.7</v>
      </c>
      <c r="G17" s="57">
        <v>175251</v>
      </c>
      <c r="H17" s="57">
        <v>114716.3</v>
      </c>
      <c r="I17" s="57">
        <v>75356.17</v>
      </c>
      <c r="K17" s="27">
        <v>2</v>
      </c>
      <c r="L17" s="28">
        <f t="shared" si="6"/>
        <v>167921.5</v>
      </c>
      <c r="M17" s="28">
        <f t="shared" si="7"/>
        <v>687597.7</v>
      </c>
      <c r="N17" s="29">
        <f t="shared" si="8"/>
        <v>0.75578525059057067</v>
      </c>
      <c r="O17" s="30" t="s">
        <v>63</v>
      </c>
      <c r="R17" s="10">
        <v>1</v>
      </c>
      <c r="S17" s="57">
        <v>114518.9</v>
      </c>
      <c r="T17" s="57">
        <v>409108.1</v>
      </c>
      <c r="U17" s="57">
        <v>494093.5</v>
      </c>
      <c r="V17" s="57">
        <v>416307.5</v>
      </c>
      <c r="W17" s="57">
        <v>306223.59999999998</v>
      </c>
      <c r="X17" s="57">
        <v>231607.9</v>
      </c>
      <c r="Y17" s="57">
        <v>169554.6</v>
      </c>
      <c r="AA17" s="27">
        <v>2</v>
      </c>
      <c r="AB17" s="28">
        <f t="shared" si="9"/>
        <v>396809.4</v>
      </c>
      <c r="AC17" s="28">
        <f t="shared" si="10"/>
        <v>1018382.1</v>
      </c>
      <c r="AD17" s="29">
        <f t="shared" si="11"/>
        <v>0.61035312777001871</v>
      </c>
      <c r="AE17" s="30" t="s">
        <v>63</v>
      </c>
    </row>
    <row r="18" spans="1:32" x14ac:dyDescent="0.2">
      <c r="B18" s="10">
        <v>2</v>
      </c>
      <c r="C18" s="57">
        <v>28385.61</v>
      </c>
      <c r="D18" s="57">
        <v>182139.5</v>
      </c>
      <c r="E18" s="57">
        <v>310673.3</v>
      </c>
      <c r="F18" s="57">
        <v>391395.2</v>
      </c>
      <c r="G18" s="57">
        <v>369756.2</v>
      </c>
      <c r="H18" s="57">
        <v>266484.40000000002</v>
      </c>
      <c r="I18" s="57">
        <v>167921.5</v>
      </c>
      <c r="K18" s="27">
        <v>3</v>
      </c>
      <c r="L18" s="28">
        <f t="shared" si="6"/>
        <v>176746.7</v>
      </c>
      <c r="M18" s="28">
        <f t="shared" si="7"/>
        <v>519676.2</v>
      </c>
      <c r="N18" s="29">
        <f t="shared" si="8"/>
        <v>0.65989071656543052</v>
      </c>
      <c r="O18" s="32" t="s">
        <v>64</v>
      </c>
      <c r="R18" s="10">
        <v>2</v>
      </c>
      <c r="S18" s="57">
        <v>17785.689999999999</v>
      </c>
      <c r="T18" s="57">
        <v>156401.79999999999</v>
      </c>
      <c r="U18" s="57">
        <v>351495.7</v>
      </c>
      <c r="V18" s="57">
        <v>501839.1</v>
      </c>
      <c r="W18" s="57">
        <v>531388.30000000005</v>
      </c>
      <c r="X18" s="57">
        <v>494933.9</v>
      </c>
      <c r="Y18" s="57">
        <v>396809.4</v>
      </c>
      <c r="AA18" s="27">
        <v>3</v>
      </c>
      <c r="AB18" s="28">
        <f t="shared" si="9"/>
        <v>303851.3</v>
      </c>
      <c r="AC18" s="28">
        <f t="shared" si="10"/>
        <v>621572.69999999995</v>
      </c>
      <c r="AD18" s="29">
        <f t="shared" si="11"/>
        <v>0.51115726285919583</v>
      </c>
      <c r="AE18" s="32" t="s">
        <v>64</v>
      </c>
    </row>
    <row r="19" spans="1:32" x14ac:dyDescent="0.2">
      <c r="B19" s="10">
        <v>3</v>
      </c>
      <c r="C19" s="57">
        <v>5024.2950000000001</v>
      </c>
      <c r="D19" s="57">
        <v>69508.52</v>
      </c>
      <c r="E19" s="57">
        <v>167116</v>
      </c>
      <c r="F19" s="57">
        <v>256901.2</v>
      </c>
      <c r="G19" s="57">
        <v>297312.3</v>
      </c>
      <c r="H19" s="57">
        <v>255556.3</v>
      </c>
      <c r="I19" s="57">
        <v>176746.7</v>
      </c>
      <c r="K19" s="27" t="s">
        <v>64</v>
      </c>
      <c r="L19" s="28">
        <f t="shared" si="6"/>
        <v>342929.5</v>
      </c>
      <c r="M19" s="28">
        <f t="shared" si="7"/>
        <v>342929.5</v>
      </c>
      <c r="N19" s="33" t="s">
        <v>65</v>
      </c>
      <c r="O19" s="32"/>
      <c r="R19" s="10">
        <v>3</v>
      </c>
      <c r="S19" s="57">
        <v>2470.9769999999999</v>
      </c>
      <c r="T19" s="57">
        <v>46684.46</v>
      </c>
      <c r="U19" s="57">
        <v>161301.9</v>
      </c>
      <c r="V19" s="57">
        <v>285471.09999999998</v>
      </c>
      <c r="W19" s="57">
        <v>333553.7</v>
      </c>
      <c r="X19" s="57">
        <v>341050.8</v>
      </c>
      <c r="Y19" s="57">
        <v>303851.3</v>
      </c>
      <c r="AA19" s="27" t="s">
        <v>64</v>
      </c>
      <c r="AB19" s="28">
        <f t="shared" si="9"/>
        <v>317721.40000000002</v>
      </c>
      <c r="AC19" s="28">
        <f t="shared" si="10"/>
        <v>317721.40000000002</v>
      </c>
      <c r="AD19" s="33" t="s">
        <v>65</v>
      </c>
      <c r="AE19" s="32"/>
    </row>
    <row r="20" spans="1:32" x14ac:dyDescent="0.2">
      <c r="B20" s="10" t="s">
        <v>64</v>
      </c>
      <c r="C20" s="57">
        <v>1385.306</v>
      </c>
      <c r="D20" s="57">
        <v>31105.4</v>
      </c>
      <c r="E20" s="57">
        <v>113449.1</v>
      </c>
      <c r="F20" s="57">
        <v>235466.5</v>
      </c>
      <c r="G20" s="57">
        <v>333519.7</v>
      </c>
      <c r="H20" s="57">
        <v>372193.5</v>
      </c>
      <c r="I20" s="57">
        <v>342929.5</v>
      </c>
      <c r="R20" s="10" t="s">
        <v>64</v>
      </c>
      <c r="S20" s="57">
        <v>495.4837</v>
      </c>
      <c r="T20" s="57">
        <v>14958.3</v>
      </c>
      <c r="U20" s="57">
        <v>84281.15</v>
      </c>
      <c r="V20" s="57">
        <v>194715.5</v>
      </c>
      <c r="W20" s="57">
        <v>254700.2</v>
      </c>
      <c r="X20" s="57">
        <v>301306.5</v>
      </c>
      <c r="Y20" s="57">
        <v>317721.40000000002</v>
      </c>
    </row>
    <row r="21" spans="1:32" ht="15.75" customHeight="1" x14ac:dyDescent="0.2"/>
    <row r="22" spans="1:32" ht="15.75" customHeight="1" x14ac:dyDescent="0.2">
      <c r="A22" s="10" t="s">
        <v>47</v>
      </c>
      <c r="B22" s="10" t="s">
        <v>47</v>
      </c>
      <c r="C22" s="10" t="s">
        <v>87</v>
      </c>
      <c r="D22" s="10" t="s">
        <v>45</v>
      </c>
      <c r="E22" s="10" t="s">
        <v>91</v>
      </c>
      <c r="Q22" s="10" t="s">
        <v>47</v>
      </c>
      <c r="R22" s="10" t="s">
        <v>47</v>
      </c>
      <c r="S22" s="10" t="s">
        <v>87</v>
      </c>
      <c r="T22" s="10" t="s">
        <v>45</v>
      </c>
      <c r="U22" s="10" t="s">
        <v>91</v>
      </c>
    </row>
    <row r="23" spans="1:32" ht="15.75" customHeight="1" x14ac:dyDescent="0.2">
      <c r="K23" s="175" t="str">
        <f>E22</f>
        <v>militar</v>
      </c>
      <c r="L23" s="176"/>
      <c r="M23" s="176"/>
      <c r="N23" s="176"/>
      <c r="O23" s="177"/>
      <c r="AA23" s="175" t="str">
        <f>U22</f>
        <v>militar</v>
      </c>
      <c r="AB23" s="176"/>
      <c r="AC23" s="176"/>
      <c r="AD23" s="176"/>
      <c r="AE23" s="177"/>
    </row>
    <row r="24" spans="1:32" ht="17.25" customHeight="1" x14ac:dyDescent="0.2">
      <c r="B24" s="10" t="s">
        <v>48</v>
      </c>
      <c r="K24" s="25" t="s">
        <v>49</v>
      </c>
      <c r="L24" s="26" t="s">
        <v>50</v>
      </c>
      <c r="M24" s="26" t="s">
        <v>51</v>
      </c>
      <c r="N24" s="26" t="s">
        <v>52</v>
      </c>
      <c r="O24" s="25" t="s">
        <v>53</v>
      </c>
      <c r="R24" s="10" t="s">
        <v>48</v>
      </c>
      <c r="AA24" s="25" t="s">
        <v>49</v>
      </c>
      <c r="AB24" s="26" t="s">
        <v>50</v>
      </c>
      <c r="AC24" s="26" t="s">
        <v>51</v>
      </c>
      <c r="AD24" s="26" t="s">
        <v>52</v>
      </c>
      <c r="AE24" s="25" t="s">
        <v>53</v>
      </c>
    </row>
    <row r="25" spans="1:32" ht="15.75" customHeight="1" x14ac:dyDescent="0.2">
      <c r="A25" s="10" t="s">
        <v>49</v>
      </c>
      <c r="C25" s="10" t="s">
        <v>54</v>
      </c>
      <c r="D25" s="10" t="s">
        <v>55</v>
      </c>
      <c r="E25" s="10" t="s">
        <v>56</v>
      </c>
      <c r="F25" s="10" t="s">
        <v>57</v>
      </c>
      <c r="G25" s="10" t="s">
        <v>58</v>
      </c>
      <c r="H25" s="10" t="s">
        <v>59</v>
      </c>
      <c r="I25" s="10" t="s">
        <v>60</v>
      </c>
      <c r="K25" s="27">
        <v>0</v>
      </c>
      <c r="L25" s="28">
        <f t="shared" ref="L25:L29" si="12">I26</f>
        <v>28.543410000000002</v>
      </c>
      <c r="M25" s="28">
        <f t="shared" ref="M25:M29" si="13">SUM($L25:L$29)</f>
        <v>219.80840000000001</v>
      </c>
      <c r="N25" s="29">
        <f t="shared" ref="N25:N28" si="14">M26/M25</f>
        <v>0.87014413461905915</v>
      </c>
      <c r="O25" s="30" t="s">
        <v>61</v>
      </c>
      <c r="P25" s="31">
        <f>N25+N25*N26+N25*N26*N27+N25*N26*N27*N28</f>
        <v>2.1258334531346392</v>
      </c>
      <c r="Q25" s="10" t="s">
        <v>49</v>
      </c>
      <c r="R25" s="10" t="s">
        <v>54</v>
      </c>
      <c r="S25" s="10" t="s">
        <v>55</v>
      </c>
      <c r="T25" s="10" t="s">
        <v>56</v>
      </c>
      <c r="U25" s="10" t="s">
        <v>57</v>
      </c>
      <c r="V25" s="10" t="s">
        <v>58</v>
      </c>
      <c r="W25" s="10" t="s">
        <v>59</v>
      </c>
      <c r="X25" s="10" t="s">
        <v>60</v>
      </c>
      <c r="AA25" s="27">
        <v>0</v>
      </c>
      <c r="AB25" s="28">
        <f t="shared" ref="AB25:AB29" si="15">Y26</f>
        <v>382.9348</v>
      </c>
      <c r="AC25" s="28">
        <f t="shared" ref="AC25:AC29" si="16">SUM($AB25:AB$29)</f>
        <v>1882.30386</v>
      </c>
      <c r="AD25" s="29">
        <f t="shared" ref="AD25:AD28" si="17">AC26/AC25</f>
        <v>0.79656058294434995</v>
      </c>
      <c r="AE25" s="30" t="s">
        <v>61</v>
      </c>
      <c r="AF25" s="31">
        <f>AD25+AD25*AD26+AD25*AD26*AD27+AD25*AD26*AD27*AD28</f>
        <v>1.5175968135134144</v>
      </c>
    </row>
    <row r="26" spans="1:32" ht="15.75" customHeight="1" x14ac:dyDescent="0.2">
      <c r="B26" s="10">
        <v>0</v>
      </c>
      <c r="C26" s="57">
        <v>346.66059999999999</v>
      </c>
      <c r="D26" s="57">
        <v>3047.33</v>
      </c>
      <c r="E26" s="57">
        <v>3175.89</v>
      </c>
      <c r="F26" s="57">
        <v>1553.944</v>
      </c>
      <c r="G26" s="57">
        <v>598.31259999999997</v>
      </c>
      <c r="H26" s="57">
        <v>120.3378</v>
      </c>
      <c r="I26" s="57">
        <v>28.543410000000002</v>
      </c>
      <c r="K26" s="27">
        <v>1</v>
      </c>
      <c r="L26" s="28">
        <f t="shared" si="12"/>
        <v>12.58872</v>
      </c>
      <c r="M26" s="28">
        <f t="shared" si="13"/>
        <v>191.26499000000001</v>
      </c>
      <c r="N26" s="29">
        <f t="shared" si="14"/>
        <v>0.93418178622235049</v>
      </c>
      <c r="O26" s="30" t="s">
        <v>62</v>
      </c>
      <c r="R26" s="10">
        <v>0</v>
      </c>
      <c r="S26" s="57">
        <v>402.1327</v>
      </c>
      <c r="T26" s="57">
        <v>3603.444</v>
      </c>
      <c r="U26" s="57">
        <v>4799.4089999999997</v>
      </c>
      <c r="V26" s="57">
        <v>2656.7689999999998</v>
      </c>
      <c r="W26" s="57">
        <v>1249.9949999999999</v>
      </c>
      <c r="X26" s="57">
        <v>707.21820000000002</v>
      </c>
      <c r="Y26" s="57">
        <v>382.9348</v>
      </c>
      <c r="AA26" s="27">
        <v>1</v>
      </c>
      <c r="AB26" s="28">
        <f t="shared" si="15"/>
        <v>521.96360000000004</v>
      </c>
      <c r="AC26" s="28">
        <f t="shared" si="16"/>
        <v>1499.36906</v>
      </c>
      <c r="AD26" s="29">
        <f t="shared" si="17"/>
        <v>0.65187783720173598</v>
      </c>
      <c r="AE26" s="30" t="s">
        <v>62</v>
      </c>
    </row>
    <row r="27" spans="1:32" ht="15.75" customHeight="1" x14ac:dyDescent="0.2">
      <c r="B27" s="10">
        <v>1</v>
      </c>
      <c r="C27" s="57">
        <v>0</v>
      </c>
      <c r="D27" s="57">
        <v>630.45079999999996</v>
      </c>
      <c r="E27" s="57">
        <v>1996.172</v>
      </c>
      <c r="F27" s="57">
        <v>1567.5360000000001</v>
      </c>
      <c r="G27" s="57">
        <v>741.98140000000001</v>
      </c>
      <c r="H27" s="57">
        <v>116.9799</v>
      </c>
      <c r="I27" s="57">
        <v>12.58872</v>
      </c>
      <c r="K27" s="27">
        <v>2</v>
      </c>
      <c r="L27" s="28">
        <f t="shared" si="12"/>
        <v>121.37390000000001</v>
      </c>
      <c r="M27" s="28">
        <f t="shared" si="13"/>
        <v>178.67627000000002</v>
      </c>
      <c r="N27" s="29">
        <f t="shared" si="14"/>
        <v>0.32070498225645744</v>
      </c>
      <c r="O27" s="30" t="s">
        <v>63</v>
      </c>
      <c r="R27" s="10">
        <v>1</v>
      </c>
      <c r="S27" s="57">
        <v>30.362549999999999</v>
      </c>
      <c r="T27" s="57">
        <v>290.24680000000001</v>
      </c>
      <c r="U27" s="57">
        <v>1091.7650000000001</v>
      </c>
      <c r="V27" s="57">
        <v>2146.6460000000002</v>
      </c>
      <c r="W27" s="57">
        <v>1479.498</v>
      </c>
      <c r="X27" s="57">
        <v>1141.2470000000001</v>
      </c>
      <c r="Y27" s="57">
        <v>521.96360000000004</v>
      </c>
      <c r="AA27" s="27">
        <v>2</v>
      </c>
      <c r="AB27" s="28">
        <f t="shared" si="15"/>
        <v>671.04470000000003</v>
      </c>
      <c r="AC27" s="28">
        <f t="shared" si="16"/>
        <v>977.40545999999995</v>
      </c>
      <c r="AD27" s="29">
        <f t="shared" si="17"/>
        <v>0.31344285717413534</v>
      </c>
      <c r="AE27" s="30" t="s">
        <v>63</v>
      </c>
    </row>
    <row r="28" spans="1:32" ht="15.75" customHeight="1" x14ac:dyDescent="0.2">
      <c r="B28" s="10">
        <v>2</v>
      </c>
      <c r="C28" s="57">
        <v>8.8972090000000001</v>
      </c>
      <c r="D28" s="57">
        <v>142.0361</v>
      </c>
      <c r="E28" s="57">
        <v>797.88310000000001</v>
      </c>
      <c r="F28" s="57">
        <v>1465.173</v>
      </c>
      <c r="G28" s="57">
        <v>920.64279999999997</v>
      </c>
      <c r="H28" s="57">
        <v>190.3312</v>
      </c>
      <c r="I28" s="57">
        <v>121.37390000000001</v>
      </c>
      <c r="K28" s="27">
        <v>3</v>
      </c>
      <c r="L28" s="28">
        <f t="shared" si="12"/>
        <v>17.269950000000001</v>
      </c>
      <c r="M28" s="28">
        <f t="shared" si="13"/>
        <v>57.302370000000003</v>
      </c>
      <c r="N28" s="29">
        <f t="shared" si="14"/>
        <v>0.69861717761411957</v>
      </c>
      <c r="O28" s="32" t="s">
        <v>64</v>
      </c>
      <c r="R28" s="10">
        <v>2</v>
      </c>
      <c r="S28" s="57">
        <v>0</v>
      </c>
      <c r="T28" s="57">
        <v>63.751690000000004</v>
      </c>
      <c r="U28" s="57">
        <v>230.3775</v>
      </c>
      <c r="V28" s="57">
        <v>1090.683</v>
      </c>
      <c r="W28" s="57">
        <v>1641.0360000000001</v>
      </c>
      <c r="X28" s="57">
        <v>1712.231</v>
      </c>
      <c r="Y28" s="57">
        <v>671.04470000000003</v>
      </c>
      <c r="AA28" s="27">
        <v>3</v>
      </c>
      <c r="AB28" s="28">
        <f t="shared" si="15"/>
        <v>232.9177</v>
      </c>
      <c r="AC28" s="28">
        <f t="shared" si="16"/>
        <v>306.36076000000003</v>
      </c>
      <c r="AD28" s="29">
        <f t="shared" si="17"/>
        <v>0.23972737239586425</v>
      </c>
      <c r="AE28" s="32" t="s">
        <v>64</v>
      </c>
    </row>
    <row r="29" spans="1:32" ht="15.75" customHeight="1" x14ac:dyDescent="0.2">
      <c r="B29" s="10">
        <v>3</v>
      </c>
      <c r="C29" s="57">
        <v>0</v>
      </c>
      <c r="D29" s="57">
        <v>8.3347189999999998</v>
      </c>
      <c r="E29" s="57">
        <v>132.9649</v>
      </c>
      <c r="F29" s="57">
        <v>443.5521</v>
      </c>
      <c r="G29" s="57">
        <v>325.78579999999999</v>
      </c>
      <c r="H29" s="57">
        <v>78.288839999999993</v>
      </c>
      <c r="I29" s="57">
        <v>17.269950000000001</v>
      </c>
      <c r="K29" s="27" t="s">
        <v>64</v>
      </c>
      <c r="L29" s="28">
        <f t="shared" si="12"/>
        <v>40.032420000000002</v>
      </c>
      <c r="M29" s="28">
        <f t="shared" si="13"/>
        <v>40.032420000000002</v>
      </c>
      <c r="N29" s="33" t="s">
        <v>65</v>
      </c>
      <c r="O29" s="32"/>
      <c r="R29" s="10">
        <v>3</v>
      </c>
      <c r="S29" s="57">
        <v>0</v>
      </c>
      <c r="T29" s="57">
        <v>0</v>
      </c>
      <c r="U29" s="57">
        <v>11.27755</v>
      </c>
      <c r="V29" s="57">
        <v>247.60740000000001</v>
      </c>
      <c r="W29" s="57">
        <v>429.5437</v>
      </c>
      <c r="X29" s="57">
        <v>592.94640000000004</v>
      </c>
      <c r="Y29" s="57">
        <v>232.9177</v>
      </c>
      <c r="AA29" s="27" t="s">
        <v>64</v>
      </c>
      <c r="AB29" s="28">
        <f t="shared" si="15"/>
        <v>73.443060000000003</v>
      </c>
      <c r="AC29" s="28">
        <f t="shared" si="16"/>
        <v>73.443060000000003</v>
      </c>
      <c r="AD29" s="33" t="s">
        <v>65</v>
      </c>
      <c r="AE29" s="32"/>
    </row>
    <row r="30" spans="1:32" ht="15.75" customHeight="1" x14ac:dyDescent="0.2">
      <c r="B30" s="10" t="s">
        <v>64</v>
      </c>
      <c r="C30" s="57">
        <v>0</v>
      </c>
      <c r="D30" s="57">
        <v>0</v>
      </c>
      <c r="E30" s="57">
        <v>41.429000000000002</v>
      </c>
      <c r="F30" s="57">
        <v>107.50409999999999</v>
      </c>
      <c r="G30" s="57">
        <v>76.425430000000006</v>
      </c>
      <c r="H30" s="57">
        <v>25.139700000000001</v>
      </c>
      <c r="I30" s="57">
        <v>40.032420000000002</v>
      </c>
      <c r="R30" s="10" t="s">
        <v>64</v>
      </c>
      <c r="S30" s="57">
        <v>0</v>
      </c>
      <c r="T30" s="57">
        <v>0</v>
      </c>
      <c r="U30" s="57">
        <v>0</v>
      </c>
      <c r="V30" s="57">
        <v>61.656149999999997</v>
      </c>
      <c r="W30" s="57">
        <v>19.362390000000001</v>
      </c>
      <c r="X30" s="57">
        <v>88.5488</v>
      </c>
      <c r="Y30" s="57">
        <v>73.443060000000003</v>
      </c>
    </row>
    <row r="31" spans="1:32" ht="15.75" customHeight="1" x14ac:dyDescent="0.2"/>
    <row r="32" spans="1:32" ht="15.75" customHeight="1" x14ac:dyDescent="0.2">
      <c r="A32" s="10" t="s">
        <v>47</v>
      </c>
      <c r="B32" s="10" t="s">
        <v>47</v>
      </c>
      <c r="C32" s="10" t="s">
        <v>87</v>
      </c>
      <c r="D32" s="10" t="s">
        <v>45</v>
      </c>
      <c r="E32" s="10" t="s">
        <v>92</v>
      </c>
      <c r="Q32" s="10" t="s">
        <v>47</v>
      </c>
      <c r="R32" s="10" t="s">
        <v>47</v>
      </c>
      <c r="S32" s="10" t="s">
        <v>87</v>
      </c>
      <c r="T32" s="10" t="s">
        <v>45</v>
      </c>
      <c r="U32" s="10" t="s">
        <v>92</v>
      </c>
    </row>
    <row r="33" spans="1:32" ht="15.75" customHeight="1" x14ac:dyDescent="0.2">
      <c r="K33" s="175" t="str">
        <f>E32</f>
        <v>proprio_consumo</v>
      </c>
      <c r="L33" s="176"/>
      <c r="M33" s="176"/>
      <c r="N33" s="176"/>
      <c r="O33" s="177"/>
      <c r="AA33" s="175" t="str">
        <f>U32</f>
        <v>proprio_consumo</v>
      </c>
      <c r="AB33" s="176"/>
      <c r="AC33" s="176"/>
      <c r="AD33" s="176"/>
      <c r="AE33" s="177"/>
    </row>
    <row r="34" spans="1:32" ht="16.5" customHeight="1" x14ac:dyDescent="0.2">
      <c r="B34" s="10" t="s">
        <v>48</v>
      </c>
      <c r="K34" s="25" t="s">
        <v>49</v>
      </c>
      <c r="L34" s="26" t="s">
        <v>50</v>
      </c>
      <c r="M34" s="26" t="s">
        <v>51</v>
      </c>
      <c r="N34" s="26" t="s">
        <v>52</v>
      </c>
      <c r="O34" s="25" t="s">
        <v>53</v>
      </c>
      <c r="R34" s="10" t="s">
        <v>48</v>
      </c>
      <c r="AA34" s="25" t="s">
        <v>49</v>
      </c>
      <c r="AB34" s="26" t="s">
        <v>50</v>
      </c>
      <c r="AC34" s="26" t="s">
        <v>51</v>
      </c>
      <c r="AD34" s="26" t="s">
        <v>52</v>
      </c>
      <c r="AE34" s="25" t="s">
        <v>53</v>
      </c>
    </row>
    <row r="35" spans="1:32" ht="15.75" customHeight="1" x14ac:dyDescent="0.2">
      <c r="A35" s="10" t="s">
        <v>49</v>
      </c>
      <c r="C35" s="10" t="s">
        <v>54</v>
      </c>
      <c r="D35" s="10" t="s">
        <v>55</v>
      </c>
      <c r="E35" s="10" t="s">
        <v>56</v>
      </c>
      <c r="F35" s="10" t="s">
        <v>57</v>
      </c>
      <c r="G35" s="10" t="s">
        <v>58</v>
      </c>
      <c r="H35" s="10" t="s">
        <v>59</v>
      </c>
      <c r="I35" s="10" t="s">
        <v>60</v>
      </c>
      <c r="K35" s="27">
        <v>0</v>
      </c>
      <c r="L35" s="28">
        <f t="shared" ref="L35:L39" si="18">I36</f>
        <v>4071.864</v>
      </c>
      <c r="M35" s="28">
        <f t="shared" ref="M35:M39" si="19">SUM($L35:L$39)</f>
        <v>60386.353999999999</v>
      </c>
      <c r="N35" s="29">
        <f t="shared" ref="N35:N38" si="20">M36/M35</f>
        <v>0.93256979879924529</v>
      </c>
      <c r="O35" s="30" t="s">
        <v>61</v>
      </c>
      <c r="P35" s="31">
        <f>N35+N35*N36+N35*N36*N37+N35*N36*N37*N38</f>
        <v>3.3549317284497753</v>
      </c>
      <c r="Q35" s="10" t="s">
        <v>49</v>
      </c>
      <c r="R35" s="10" t="s">
        <v>54</v>
      </c>
      <c r="S35" s="10" t="s">
        <v>55</v>
      </c>
      <c r="T35" s="10" t="s">
        <v>56</v>
      </c>
      <c r="U35" s="10" t="s">
        <v>57</v>
      </c>
      <c r="V35" s="10" t="s">
        <v>58</v>
      </c>
      <c r="W35" s="10" t="s">
        <v>59</v>
      </c>
      <c r="X35" s="10" t="s">
        <v>60</v>
      </c>
      <c r="AA35" s="27">
        <v>0</v>
      </c>
      <c r="AB35" s="28">
        <f t="shared" ref="AB35:AB39" si="21">Y36</f>
        <v>9837.6470000000008</v>
      </c>
      <c r="AC35" s="28">
        <f t="shared" ref="AC35:AC39" si="22">SUM($AB35:AB$39)</f>
        <v>133638.07199999999</v>
      </c>
      <c r="AD35" s="29">
        <f t="shared" ref="AD35:AD38" si="23">AC36/AC35</f>
        <v>0.92638589548044359</v>
      </c>
      <c r="AE35" s="30" t="s">
        <v>61</v>
      </c>
      <c r="AF35" s="31">
        <f>AD35+AD35*AD36+AD35*AD36*AD37+AD35*AD36*AD37*AD38</f>
        <v>2.9563321221814696</v>
      </c>
    </row>
    <row r="36" spans="1:32" ht="15.75" customHeight="1" x14ac:dyDescent="0.2">
      <c r="B36" s="10">
        <v>0</v>
      </c>
      <c r="C36" s="57">
        <v>35297.279999999999</v>
      </c>
      <c r="D36" s="57">
        <v>16002.13</v>
      </c>
      <c r="E36" s="57">
        <v>7528.0410000000002</v>
      </c>
      <c r="F36" s="57">
        <v>5205.0169999999998</v>
      </c>
      <c r="G36" s="57">
        <v>3850.2730000000001</v>
      </c>
      <c r="H36" s="57">
        <v>3964.6190000000001</v>
      </c>
      <c r="I36" s="57">
        <v>4071.864</v>
      </c>
      <c r="K36" s="27">
        <v>1</v>
      </c>
      <c r="L36" s="28">
        <f t="shared" si="18"/>
        <v>2572.8530000000001</v>
      </c>
      <c r="M36" s="28">
        <f t="shared" si="19"/>
        <v>56314.49</v>
      </c>
      <c r="N36" s="29">
        <f t="shared" si="20"/>
        <v>0.95431277101151057</v>
      </c>
      <c r="O36" s="30" t="s">
        <v>62</v>
      </c>
      <c r="R36" s="10">
        <v>0</v>
      </c>
      <c r="S36" s="57">
        <v>89326.78</v>
      </c>
      <c r="T36" s="57">
        <v>42183.22</v>
      </c>
      <c r="U36" s="57">
        <v>21462.92</v>
      </c>
      <c r="V36" s="57">
        <v>12638.42</v>
      </c>
      <c r="W36" s="57">
        <v>10342.969999999999</v>
      </c>
      <c r="X36" s="57">
        <v>10335.73</v>
      </c>
      <c r="Y36" s="57">
        <v>9837.6470000000008</v>
      </c>
      <c r="AA36" s="27">
        <v>1</v>
      </c>
      <c r="AB36" s="28">
        <f t="shared" si="21"/>
        <v>8823.1550000000007</v>
      </c>
      <c r="AC36" s="28">
        <f t="shared" si="22"/>
        <v>123800.42499999999</v>
      </c>
      <c r="AD36" s="29">
        <f t="shared" si="23"/>
        <v>0.92873081816964687</v>
      </c>
      <c r="AE36" s="30" t="s">
        <v>62</v>
      </c>
    </row>
    <row r="37" spans="1:32" ht="15.75" customHeight="1" x14ac:dyDescent="0.2">
      <c r="B37" s="10">
        <v>1</v>
      </c>
      <c r="C37" s="57">
        <v>6945.9780000000001</v>
      </c>
      <c r="D37" s="57">
        <v>11372.99</v>
      </c>
      <c r="E37" s="57">
        <v>7466.83</v>
      </c>
      <c r="F37" s="57">
        <v>4700.8419999999996</v>
      </c>
      <c r="G37" s="57">
        <v>3470.5369999999998</v>
      </c>
      <c r="H37" s="57">
        <v>2360.6190000000001</v>
      </c>
      <c r="I37" s="57">
        <v>2572.8530000000001</v>
      </c>
      <c r="K37" s="27">
        <v>2</v>
      </c>
      <c r="L37" s="28">
        <f t="shared" si="18"/>
        <v>4720.0190000000002</v>
      </c>
      <c r="M37" s="28">
        <f t="shared" si="19"/>
        <v>53741.637000000002</v>
      </c>
      <c r="N37" s="29">
        <f t="shared" si="20"/>
        <v>0.91217202780778706</v>
      </c>
      <c r="O37" s="30" t="s">
        <v>63</v>
      </c>
      <c r="R37" s="10">
        <v>1</v>
      </c>
      <c r="S37" s="57">
        <v>16818.97</v>
      </c>
      <c r="T37" s="57">
        <v>35587.46</v>
      </c>
      <c r="U37" s="57">
        <v>29689.8</v>
      </c>
      <c r="V37" s="57">
        <v>17736.86</v>
      </c>
      <c r="W37" s="57">
        <v>11974.25</v>
      </c>
      <c r="X37" s="57">
        <v>10259.280000000001</v>
      </c>
      <c r="Y37" s="57">
        <v>8823.1550000000007</v>
      </c>
      <c r="AA37" s="27">
        <v>2</v>
      </c>
      <c r="AB37" s="28">
        <f t="shared" si="21"/>
        <v>23870.14</v>
      </c>
      <c r="AC37" s="28">
        <f t="shared" si="22"/>
        <v>114977.26999999999</v>
      </c>
      <c r="AD37" s="29">
        <f t="shared" si="23"/>
        <v>0.79239253114985264</v>
      </c>
      <c r="AE37" s="30" t="s">
        <v>63</v>
      </c>
    </row>
    <row r="38" spans="1:32" ht="15.75" customHeight="1" x14ac:dyDescent="0.2">
      <c r="B38" s="10">
        <v>2</v>
      </c>
      <c r="C38" s="57">
        <v>2897.9929999999999</v>
      </c>
      <c r="D38" s="57">
        <v>10404.76</v>
      </c>
      <c r="E38" s="57">
        <v>11423.87</v>
      </c>
      <c r="F38" s="57">
        <v>10115.85</v>
      </c>
      <c r="G38" s="57">
        <v>8173.8590000000004</v>
      </c>
      <c r="H38" s="57">
        <v>6181.1809999999996</v>
      </c>
      <c r="I38" s="57">
        <v>4720.0190000000002</v>
      </c>
      <c r="K38" s="27">
        <v>3</v>
      </c>
      <c r="L38" s="28">
        <f t="shared" si="18"/>
        <v>5507.268</v>
      </c>
      <c r="M38" s="28">
        <f t="shared" si="19"/>
        <v>49021.618000000002</v>
      </c>
      <c r="N38" s="29">
        <f t="shared" si="20"/>
        <v>0.88765633969894664</v>
      </c>
      <c r="O38" s="32" t="s">
        <v>64</v>
      </c>
      <c r="R38" s="10">
        <v>2</v>
      </c>
      <c r="S38" s="57">
        <v>4031.8130000000001</v>
      </c>
      <c r="T38" s="57">
        <v>22842.27</v>
      </c>
      <c r="U38" s="57">
        <v>33551.74</v>
      </c>
      <c r="V38" s="57">
        <v>35444.870000000003</v>
      </c>
      <c r="W38" s="57">
        <v>31074.03</v>
      </c>
      <c r="X38" s="57">
        <v>27316.27</v>
      </c>
      <c r="Y38" s="57">
        <v>23870.14</v>
      </c>
      <c r="AA38" s="27">
        <v>3</v>
      </c>
      <c r="AB38" s="28">
        <f t="shared" si="21"/>
        <v>25913.43</v>
      </c>
      <c r="AC38" s="28">
        <f t="shared" si="22"/>
        <v>91107.13</v>
      </c>
      <c r="AD38" s="29">
        <f t="shared" si="23"/>
        <v>0.71557187675651723</v>
      </c>
      <c r="AE38" s="32" t="s">
        <v>64</v>
      </c>
    </row>
    <row r="39" spans="1:32" ht="15.75" customHeight="1" x14ac:dyDescent="0.2">
      <c r="B39" s="10">
        <v>3</v>
      </c>
      <c r="C39" s="57">
        <v>714.61369999999999</v>
      </c>
      <c r="D39" s="57">
        <v>6623.3469999999998</v>
      </c>
      <c r="E39" s="57">
        <v>10095.959999999999</v>
      </c>
      <c r="F39" s="57">
        <v>10776.26</v>
      </c>
      <c r="G39" s="57">
        <v>9977.1810000000005</v>
      </c>
      <c r="H39" s="57">
        <v>7348.72</v>
      </c>
      <c r="I39" s="57">
        <v>5507.268</v>
      </c>
      <c r="K39" s="27" t="s">
        <v>64</v>
      </c>
      <c r="L39" s="28">
        <f t="shared" si="18"/>
        <v>43514.35</v>
      </c>
      <c r="M39" s="28">
        <f t="shared" si="19"/>
        <v>43514.35</v>
      </c>
      <c r="N39" s="33" t="s">
        <v>65</v>
      </c>
      <c r="O39" s="32"/>
      <c r="R39" s="10">
        <v>3</v>
      </c>
      <c r="S39" s="57">
        <v>829.23019999999997</v>
      </c>
      <c r="T39" s="57">
        <v>10012.719999999999</v>
      </c>
      <c r="U39" s="57">
        <v>22454.3</v>
      </c>
      <c r="V39" s="57">
        <v>28766.3</v>
      </c>
      <c r="W39" s="57">
        <v>28862.65</v>
      </c>
      <c r="X39" s="57">
        <v>27438.05</v>
      </c>
      <c r="Y39" s="57">
        <v>25913.43</v>
      </c>
      <c r="AA39" s="27" t="s">
        <v>64</v>
      </c>
      <c r="AB39" s="28">
        <f t="shared" si="21"/>
        <v>65193.7</v>
      </c>
      <c r="AC39" s="28">
        <f t="shared" si="22"/>
        <v>65193.7</v>
      </c>
      <c r="AD39" s="33" t="s">
        <v>65</v>
      </c>
      <c r="AE39" s="32"/>
    </row>
    <row r="40" spans="1:32" ht="15.75" customHeight="1" x14ac:dyDescent="0.2">
      <c r="B40" s="10" t="s">
        <v>64</v>
      </c>
      <c r="C40" s="57">
        <v>285.4511</v>
      </c>
      <c r="D40" s="57">
        <v>5090.1589999999997</v>
      </c>
      <c r="E40" s="57">
        <v>14999.22</v>
      </c>
      <c r="F40" s="57">
        <v>27560.66</v>
      </c>
      <c r="G40" s="57">
        <v>37176.120000000003</v>
      </c>
      <c r="H40" s="57">
        <v>40410.639999999999</v>
      </c>
      <c r="I40" s="57">
        <v>43514.35</v>
      </c>
      <c r="R40" s="10" t="s">
        <v>64</v>
      </c>
      <c r="S40" s="57">
        <v>128.9239</v>
      </c>
      <c r="T40" s="57">
        <v>5155.9880000000003</v>
      </c>
      <c r="U40" s="57">
        <v>20015.34</v>
      </c>
      <c r="V40" s="57">
        <v>34514.559999999998</v>
      </c>
      <c r="W40" s="57">
        <v>43017.09</v>
      </c>
      <c r="X40" s="57">
        <v>55041.99</v>
      </c>
      <c r="Y40" s="57">
        <v>65193.7</v>
      </c>
    </row>
    <row r="41" spans="1:32" ht="15.75" customHeight="1" x14ac:dyDescent="0.2"/>
    <row r="42" spans="1:32" ht="15.75" customHeight="1" x14ac:dyDescent="0.2">
      <c r="A42" s="10" t="s">
        <v>47</v>
      </c>
      <c r="B42" s="10" t="s">
        <v>47</v>
      </c>
      <c r="C42" s="10" t="s">
        <v>87</v>
      </c>
      <c r="D42" s="10" t="s">
        <v>45</v>
      </c>
      <c r="E42" s="10" t="s">
        <v>93</v>
      </c>
      <c r="Q42" s="10" t="s">
        <v>47</v>
      </c>
      <c r="R42" s="10" t="s">
        <v>47</v>
      </c>
      <c r="S42" s="10" t="s">
        <v>87</v>
      </c>
      <c r="T42" s="10" t="s">
        <v>45</v>
      </c>
      <c r="U42" s="10" t="s">
        <v>93</v>
      </c>
    </row>
    <row r="43" spans="1:32" ht="15.75" customHeight="1" x14ac:dyDescent="0.2">
      <c r="K43" s="175" t="str">
        <f>E42</f>
        <v>sem_remuneracao</v>
      </c>
      <c r="L43" s="176"/>
      <c r="M43" s="176"/>
      <c r="N43" s="176"/>
      <c r="O43" s="177"/>
      <c r="AA43" s="175" t="str">
        <f>U42</f>
        <v>sem_remuneracao</v>
      </c>
      <c r="AB43" s="176"/>
      <c r="AC43" s="176"/>
      <c r="AD43" s="176"/>
      <c r="AE43" s="177"/>
    </row>
    <row r="44" spans="1:32" ht="15" customHeight="1" x14ac:dyDescent="0.2">
      <c r="B44" s="10" t="s">
        <v>48</v>
      </c>
      <c r="K44" s="25" t="s">
        <v>49</v>
      </c>
      <c r="L44" s="26" t="s">
        <v>50</v>
      </c>
      <c r="M44" s="26" t="s">
        <v>51</v>
      </c>
      <c r="N44" s="26" t="s">
        <v>52</v>
      </c>
      <c r="O44" s="25" t="s">
        <v>53</v>
      </c>
      <c r="R44" s="10" t="s">
        <v>48</v>
      </c>
      <c r="AA44" s="25" t="s">
        <v>49</v>
      </c>
      <c r="AB44" s="26" t="s">
        <v>50</v>
      </c>
      <c r="AC44" s="26" t="s">
        <v>51</v>
      </c>
      <c r="AD44" s="26" t="s">
        <v>52</v>
      </c>
      <c r="AE44" s="25" t="s">
        <v>53</v>
      </c>
    </row>
    <row r="45" spans="1:32" ht="15.75" customHeight="1" x14ac:dyDescent="0.2">
      <c r="A45" s="10" t="s">
        <v>49</v>
      </c>
      <c r="C45" s="10" t="s">
        <v>54</v>
      </c>
      <c r="D45" s="10" t="s">
        <v>55</v>
      </c>
      <c r="E45" s="10" t="s">
        <v>56</v>
      </c>
      <c r="F45" s="10" t="s">
        <v>57</v>
      </c>
      <c r="G45" s="10" t="s">
        <v>58</v>
      </c>
      <c r="H45" s="10" t="s">
        <v>59</v>
      </c>
      <c r="I45" s="10" t="s">
        <v>60</v>
      </c>
      <c r="K45" s="27">
        <v>0</v>
      </c>
      <c r="L45" s="28">
        <f t="shared" ref="L45:L49" si="24">I46</f>
        <v>5896.58</v>
      </c>
      <c r="M45" s="28">
        <f t="shared" ref="M45:M49" si="25">SUM($L45:L$49)</f>
        <v>118142.905</v>
      </c>
      <c r="N45" s="29">
        <f t="shared" ref="N45:N48" si="26">M46/M45</f>
        <v>0.95008942771468174</v>
      </c>
      <c r="O45" s="30" t="s">
        <v>61</v>
      </c>
      <c r="P45" s="31">
        <f>N45+N45*N46+N45*N46*N47+N45*N46*N47*N48</f>
        <v>3.1062765470342888</v>
      </c>
      <c r="Q45" s="10" t="s">
        <v>49</v>
      </c>
      <c r="R45" s="10" t="s">
        <v>54</v>
      </c>
      <c r="S45" s="10" t="s">
        <v>55</v>
      </c>
      <c r="T45" s="10" t="s">
        <v>56</v>
      </c>
      <c r="U45" s="10" t="s">
        <v>57</v>
      </c>
      <c r="V45" s="10" t="s">
        <v>58</v>
      </c>
      <c r="W45" s="10" t="s">
        <v>59</v>
      </c>
      <c r="X45" s="10" t="s">
        <v>60</v>
      </c>
      <c r="AA45" s="27">
        <v>0</v>
      </c>
      <c r="AB45" s="28">
        <f t="shared" ref="AB45:AB49" si="27">Y46</f>
        <v>5068.2420000000002</v>
      </c>
      <c r="AC45" s="28">
        <f t="shared" ref="AC45:AC49" si="28">SUM($AB45:AB$49)</f>
        <v>62698.285999999993</v>
      </c>
      <c r="AD45" s="29">
        <f t="shared" ref="AD45:AD48" si="29">AC46/AC45</f>
        <v>0.91916458449916794</v>
      </c>
      <c r="AE45" s="30" t="s">
        <v>61</v>
      </c>
      <c r="AF45" s="31">
        <f>AD45+AD45*AD46+AD45*AD46*AD47+AD45*AD46*AD47*AD48</f>
        <v>2.5528079667122001</v>
      </c>
    </row>
    <row r="46" spans="1:32" ht="15.75" customHeight="1" x14ac:dyDescent="0.2">
      <c r="B46" s="10">
        <v>0</v>
      </c>
      <c r="C46" s="57">
        <v>154018.5</v>
      </c>
      <c r="D46" s="57">
        <v>62702.59</v>
      </c>
      <c r="E46" s="57">
        <v>25050.41</v>
      </c>
      <c r="F46" s="57">
        <v>14168.8</v>
      </c>
      <c r="G46" s="57">
        <v>9680.223</v>
      </c>
      <c r="H46" s="57">
        <v>7008.1750000000002</v>
      </c>
      <c r="I46" s="57">
        <v>5896.58</v>
      </c>
      <c r="K46" s="27">
        <v>1</v>
      </c>
      <c r="L46" s="28">
        <f t="shared" si="24"/>
        <v>6050.875</v>
      </c>
      <c r="M46" s="28">
        <f t="shared" si="25"/>
        <v>112246.32500000001</v>
      </c>
      <c r="N46" s="29">
        <f t="shared" si="26"/>
        <v>0.94609288990084972</v>
      </c>
      <c r="O46" s="30" t="s">
        <v>62</v>
      </c>
      <c r="R46" s="10">
        <v>0</v>
      </c>
      <c r="S46" s="57">
        <v>125519.9</v>
      </c>
      <c r="T46" s="57">
        <v>49124.99</v>
      </c>
      <c r="U46" s="57">
        <v>20289.11</v>
      </c>
      <c r="V46" s="57">
        <v>10898.95</v>
      </c>
      <c r="W46" s="57">
        <v>6978.2430000000004</v>
      </c>
      <c r="X46" s="57">
        <v>5989.7510000000002</v>
      </c>
      <c r="Y46" s="57">
        <v>5068.2420000000002</v>
      </c>
      <c r="AA46" s="27">
        <v>1</v>
      </c>
      <c r="AB46" s="28">
        <f t="shared" si="27"/>
        <v>6225.5039999999999</v>
      </c>
      <c r="AC46" s="28">
        <f t="shared" si="28"/>
        <v>57630.043999999994</v>
      </c>
      <c r="AD46" s="29">
        <f t="shared" si="29"/>
        <v>0.8919746790406754</v>
      </c>
      <c r="AE46" s="30" t="s">
        <v>62</v>
      </c>
    </row>
    <row r="47" spans="1:32" ht="15.75" customHeight="1" x14ac:dyDescent="0.2">
      <c r="B47" s="10">
        <v>1</v>
      </c>
      <c r="C47" s="57">
        <v>16697.98</v>
      </c>
      <c r="D47" s="57">
        <v>34946.35</v>
      </c>
      <c r="E47" s="57">
        <v>30428.06</v>
      </c>
      <c r="F47" s="57">
        <v>21222.74</v>
      </c>
      <c r="G47" s="57">
        <v>13241.64</v>
      </c>
      <c r="H47" s="57">
        <v>8103.4690000000001</v>
      </c>
      <c r="I47" s="57">
        <v>6050.875</v>
      </c>
      <c r="K47" s="27">
        <v>2</v>
      </c>
      <c r="L47" s="28">
        <f t="shared" si="24"/>
        <v>20277.060000000001</v>
      </c>
      <c r="M47" s="28">
        <f t="shared" si="25"/>
        <v>106195.45000000001</v>
      </c>
      <c r="N47" s="29">
        <f t="shared" si="26"/>
        <v>0.80905905102337239</v>
      </c>
      <c r="O47" s="30" t="s">
        <v>63</v>
      </c>
      <c r="R47" s="10">
        <v>1</v>
      </c>
      <c r="S47" s="57">
        <v>12327.54</v>
      </c>
      <c r="T47" s="57">
        <v>24494.85</v>
      </c>
      <c r="U47" s="57">
        <v>21784.799999999999</v>
      </c>
      <c r="V47" s="57">
        <v>14463.45</v>
      </c>
      <c r="W47" s="57">
        <v>10208.33</v>
      </c>
      <c r="X47" s="57">
        <v>7333.0290000000005</v>
      </c>
      <c r="Y47" s="57">
        <v>6225.5039999999999</v>
      </c>
      <c r="AA47" s="27">
        <v>2</v>
      </c>
      <c r="AB47" s="28">
        <f t="shared" si="27"/>
        <v>18147.349999999999</v>
      </c>
      <c r="AC47" s="28">
        <f t="shared" si="28"/>
        <v>51404.539999999994</v>
      </c>
      <c r="AD47" s="29">
        <f t="shared" si="29"/>
        <v>0.64696989798955518</v>
      </c>
      <c r="AE47" s="30" t="s">
        <v>63</v>
      </c>
    </row>
    <row r="48" spans="1:32" ht="15.75" customHeight="1" x14ac:dyDescent="0.2">
      <c r="B48" s="10">
        <v>2</v>
      </c>
      <c r="C48" s="57">
        <v>4656.6059999999998</v>
      </c>
      <c r="D48" s="57">
        <v>21549.64</v>
      </c>
      <c r="E48" s="57">
        <v>34590.11</v>
      </c>
      <c r="F48" s="57">
        <v>41449.339999999997</v>
      </c>
      <c r="G48" s="57">
        <v>39169.79</v>
      </c>
      <c r="H48" s="57">
        <v>28430.42</v>
      </c>
      <c r="I48" s="57">
        <v>20277.060000000001</v>
      </c>
      <c r="K48" s="27">
        <v>3</v>
      </c>
      <c r="L48" s="28">
        <f t="shared" si="24"/>
        <v>23294.02</v>
      </c>
      <c r="M48" s="28">
        <f t="shared" si="25"/>
        <v>85918.39</v>
      </c>
      <c r="N48" s="29">
        <f t="shared" si="26"/>
        <v>0.7288820239764735</v>
      </c>
      <c r="O48" s="32" t="s">
        <v>64</v>
      </c>
      <c r="R48" s="10">
        <v>2</v>
      </c>
      <c r="S48" s="57">
        <v>2148.4540000000002</v>
      </c>
      <c r="T48" s="57">
        <v>11481.62</v>
      </c>
      <c r="U48" s="57">
        <v>19030.82</v>
      </c>
      <c r="V48" s="57">
        <v>20758.5</v>
      </c>
      <c r="W48" s="57">
        <v>22227.82</v>
      </c>
      <c r="X48" s="57">
        <v>20865.400000000001</v>
      </c>
      <c r="Y48" s="57">
        <v>18147.349999999999</v>
      </c>
      <c r="AA48" s="27">
        <v>3</v>
      </c>
      <c r="AB48" s="28">
        <f t="shared" si="27"/>
        <v>15492.28</v>
      </c>
      <c r="AC48" s="28">
        <f t="shared" si="28"/>
        <v>33257.19</v>
      </c>
      <c r="AD48" s="29">
        <f t="shared" si="29"/>
        <v>0.53416749881754888</v>
      </c>
      <c r="AE48" s="32" t="s">
        <v>64</v>
      </c>
    </row>
    <row r="49" spans="1:36" ht="15.75" customHeight="1" x14ac:dyDescent="0.2">
      <c r="B49" s="10">
        <v>3</v>
      </c>
      <c r="C49" s="57">
        <v>1245.23</v>
      </c>
      <c r="D49" s="57">
        <v>10263.42</v>
      </c>
      <c r="E49" s="57">
        <v>20572.080000000002</v>
      </c>
      <c r="F49" s="57">
        <v>30189.67</v>
      </c>
      <c r="G49" s="57">
        <v>33146.31</v>
      </c>
      <c r="H49" s="57">
        <v>29140.75</v>
      </c>
      <c r="I49" s="57">
        <v>23294.02</v>
      </c>
      <c r="K49" s="27" t="s">
        <v>64</v>
      </c>
      <c r="L49" s="28">
        <f t="shared" si="24"/>
        <v>62624.37</v>
      </c>
      <c r="M49" s="28">
        <f t="shared" si="25"/>
        <v>62624.37</v>
      </c>
      <c r="N49" s="33" t="s">
        <v>65</v>
      </c>
      <c r="O49" s="32"/>
      <c r="R49" s="10">
        <v>3</v>
      </c>
      <c r="S49" s="57">
        <v>304.71550000000002</v>
      </c>
      <c r="T49" s="57">
        <v>3861.7840000000001</v>
      </c>
      <c r="U49" s="57">
        <v>9668.4979999999996</v>
      </c>
      <c r="V49" s="57">
        <v>12838.09</v>
      </c>
      <c r="W49" s="57">
        <v>14231.51</v>
      </c>
      <c r="X49" s="57">
        <v>14853.65</v>
      </c>
      <c r="Y49" s="57">
        <v>15492.28</v>
      </c>
      <c r="AA49" s="27" t="s">
        <v>64</v>
      </c>
      <c r="AB49" s="28">
        <f t="shared" si="27"/>
        <v>17764.91</v>
      </c>
      <c r="AC49" s="28">
        <f t="shared" si="28"/>
        <v>17764.91</v>
      </c>
      <c r="AD49" s="33" t="s">
        <v>65</v>
      </c>
      <c r="AE49" s="32"/>
    </row>
    <row r="50" spans="1:36" ht="15.75" customHeight="1" x14ac:dyDescent="0.2">
      <c r="B50" s="10" t="s">
        <v>64</v>
      </c>
      <c r="C50" s="57">
        <v>396.87099999999998</v>
      </c>
      <c r="D50" s="57">
        <v>7254.6769999999997</v>
      </c>
      <c r="E50" s="57">
        <v>21303.07</v>
      </c>
      <c r="F50" s="57">
        <v>39414.68</v>
      </c>
      <c r="G50" s="57">
        <v>53669.77</v>
      </c>
      <c r="H50" s="57">
        <v>60247.11</v>
      </c>
      <c r="I50" s="57">
        <v>62624.37</v>
      </c>
      <c r="R50" s="10" t="s">
        <v>64</v>
      </c>
      <c r="S50" s="57">
        <v>72.401970000000006</v>
      </c>
      <c r="T50" s="57">
        <v>1389.5940000000001</v>
      </c>
      <c r="U50" s="57">
        <v>5985.2209999999995</v>
      </c>
      <c r="V50" s="57">
        <v>10633.53</v>
      </c>
      <c r="W50" s="57">
        <v>12909.25</v>
      </c>
      <c r="X50" s="57">
        <v>15663.54</v>
      </c>
      <c r="Y50" s="57">
        <v>17764.91</v>
      </c>
    </row>
    <row r="51" spans="1:36" ht="15.75" customHeight="1" x14ac:dyDescent="0.2"/>
    <row r="52" spans="1:36" ht="15.75" customHeight="1" x14ac:dyDescent="0.2">
      <c r="A52" s="10" t="s">
        <v>47</v>
      </c>
      <c r="B52" s="10" t="s">
        <v>47</v>
      </c>
      <c r="C52" s="10" t="s">
        <v>87</v>
      </c>
      <c r="D52" s="10" t="s">
        <v>45</v>
      </c>
      <c r="E52" s="10" t="s">
        <v>94</v>
      </c>
      <c r="Q52" s="10" t="s">
        <v>47</v>
      </c>
      <c r="R52" s="10" t="s">
        <v>47</v>
      </c>
      <c r="S52" s="10" t="s">
        <v>87</v>
      </c>
      <c r="T52" s="10" t="s">
        <v>45</v>
      </c>
      <c r="U52" s="10" t="s">
        <v>94</v>
      </c>
    </row>
    <row r="53" spans="1:36" ht="15.75" customHeight="1" x14ac:dyDescent="0.2">
      <c r="K53" s="175" t="str">
        <f>E52</f>
        <v>setor_privado_formal</v>
      </c>
      <c r="L53" s="176"/>
      <c r="M53" s="176"/>
      <c r="N53" s="176"/>
      <c r="O53" s="177"/>
      <c r="AA53" s="175" t="str">
        <f>U52</f>
        <v>setor_privado_formal</v>
      </c>
      <c r="AB53" s="176"/>
      <c r="AC53" s="176"/>
      <c r="AD53" s="176"/>
      <c r="AE53" s="177"/>
    </row>
    <row r="54" spans="1:36" ht="14.25" customHeight="1" x14ac:dyDescent="0.2">
      <c r="B54" s="10" t="s">
        <v>48</v>
      </c>
      <c r="K54" s="25" t="s">
        <v>49</v>
      </c>
      <c r="L54" s="26" t="s">
        <v>50</v>
      </c>
      <c r="M54" s="26" t="s">
        <v>51</v>
      </c>
      <c r="N54" s="26" t="s">
        <v>52</v>
      </c>
      <c r="O54" s="25" t="s">
        <v>53</v>
      </c>
      <c r="R54" s="10" t="s">
        <v>48</v>
      </c>
      <c r="AA54" s="25" t="s">
        <v>49</v>
      </c>
      <c r="AB54" s="26" t="s">
        <v>50</v>
      </c>
      <c r="AC54" s="26" t="s">
        <v>51</v>
      </c>
      <c r="AD54" s="26" t="s">
        <v>52</v>
      </c>
      <c r="AE54" s="25" t="s">
        <v>53</v>
      </c>
    </row>
    <row r="55" spans="1:36" ht="15.75" customHeight="1" x14ac:dyDescent="0.2">
      <c r="A55" s="10" t="s">
        <v>49</v>
      </c>
      <c r="C55" s="10" t="s">
        <v>54</v>
      </c>
      <c r="D55" s="10" t="s">
        <v>55</v>
      </c>
      <c r="E55" s="10" t="s">
        <v>56</v>
      </c>
      <c r="F55" s="10" t="s">
        <v>57</v>
      </c>
      <c r="G55" s="10" t="s">
        <v>58</v>
      </c>
      <c r="H55" s="10" t="s">
        <v>59</v>
      </c>
      <c r="I55" s="10" t="s">
        <v>60</v>
      </c>
      <c r="K55" s="27">
        <v>0</v>
      </c>
      <c r="L55" s="28">
        <f t="shared" ref="L55:L59" si="30">I56</f>
        <v>126501.6</v>
      </c>
      <c r="M55" s="28">
        <f t="shared" ref="M55:M59" si="31">SUM($L55:L$59)</f>
        <v>921812.2</v>
      </c>
      <c r="N55" s="29">
        <f t="shared" ref="N55:N58" si="32">M56/M55</f>
        <v>0.86276857694007536</v>
      </c>
      <c r="O55" s="30" t="s">
        <v>61</v>
      </c>
      <c r="P55" s="59">
        <f>N55+N55*N56+N55*N56*N57+N55*N56*N57*N58</f>
        <v>2.3124567021352074</v>
      </c>
      <c r="Q55" s="10" t="s">
        <v>49</v>
      </c>
      <c r="R55" s="10" t="s">
        <v>54</v>
      </c>
      <c r="S55" s="10" t="s">
        <v>55</v>
      </c>
      <c r="T55" s="10" t="s">
        <v>56</v>
      </c>
      <c r="U55" s="10" t="s">
        <v>57</v>
      </c>
      <c r="V55" s="10" t="s">
        <v>58</v>
      </c>
      <c r="W55" s="10" t="s">
        <v>59</v>
      </c>
      <c r="X55" s="10" t="s">
        <v>60</v>
      </c>
      <c r="AA55" s="27">
        <v>0</v>
      </c>
      <c r="AB55" s="28">
        <f t="shared" ref="AB55:AB59" si="33">Y56</f>
        <v>262742.90000000002</v>
      </c>
      <c r="AC55" s="28">
        <f t="shared" ref="AC55:AC59" si="34">SUM($AB55:AB$59)</f>
        <v>1793391.0999999999</v>
      </c>
      <c r="AD55" s="29">
        <f t="shared" ref="AD55:AD58" si="35">AC56/AC55</f>
        <v>0.85349380846152301</v>
      </c>
      <c r="AE55" s="30" t="s">
        <v>61</v>
      </c>
      <c r="AF55" s="59">
        <f>AD55+AD55*AD56+AD55*AD56*AD57+AD55*AD56*AD57*AD58</f>
        <v>1.954134432807211</v>
      </c>
    </row>
    <row r="56" spans="1:36" ht="15.75" customHeight="1" x14ac:dyDescent="0.2">
      <c r="B56" s="10">
        <v>0</v>
      </c>
      <c r="C56" s="57">
        <v>559026.69999999995</v>
      </c>
      <c r="D56" s="57">
        <v>1237887</v>
      </c>
      <c r="E56" s="57">
        <v>859192.2</v>
      </c>
      <c r="F56" s="57">
        <v>487992.6</v>
      </c>
      <c r="G56" s="57">
        <v>299759</v>
      </c>
      <c r="H56" s="57">
        <v>194591.1</v>
      </c>
      <c r="I56" s="57">
        <v>126501.6</v>
      </c>
      <c r="K56" s="27">
        <v>1</v>
      </c>
      <c r="L56" s="28">
        <f t="shared" si="30"/>
        <v>118096.4</v>
      </c>
      <c r="M56" s="28">
        <f t="shared" si="31"/>
        <v>795310.60000000009</v>
      </c>
      <c r="N56" s="29">
        <f t="shared" si="32"/>
        <v>0.85150908336944064</v>
      </c>
      <c r="O56" s="30" t="s">
        <v>62</v>
      </c>
      <c r="R56" s="10">
        <v>0</v>
      </c>
      <c r="S56" s="57">
        <v>755177.9</v>
      </c>
      <c r="T56" s="57">
        <v>1923640</v>
      </c>
      <c r="U56" s="57">
        <v>1652661</v>
      </c>
      <c r="V56" s="57">
        <v>920844.1</v>
      </c>
      <c r="W56" s="57">
        <v>488996.8</v>
      </c>
      <c r="X56" s="57">
        <v>344690</v>
      </c>
      <c r="Y56" s="57">
        <v>262742.90000000002</v>
      </c>
      <c r="AA56" s="27">
        <v>1</v>
      </c>
      <c r="AB56" s="28">
        <f t="shared" si="33"/>
        <v>332178.59999999998</v>
      </c>
      <c r="AC56" s="28">
        <f t="shared" si="34"/>
        <v>1530648.2</v>
      </c>
      <c r="AD56" s="29">
        <f t="shared" si="35"/>
        <v>0.78298174590346747</v>
      </c>
      <c r="AE56" s="30" t="s">
        <v>62</v>
      </c>
    </row>
    <row r="57" spans="1:36" ht="15.75" customHeight="1" x14ac:dyDescent="0.2">
      <c r="B57" s="10">
        <v>1</v>
      </c>
      <c r="C57" s="57">
        <v>54876.79</v>
      </c>
      <c r="D57" s="57">
        <v>343217.1</v>
      </c>
      <c r="E57" s="57">
        <v>478775.4</v>
      </c>
      <c r="F57" s="57">
        <v>427697.7</v>
      </c>
      <c r="G57" s="57">
        <v>309442.40000000002</v>
      </c>
      <c r="H57" s="57">
        <v>196016</v>
      </c>
      <c r="I57" s="57">
        <v>118096.4</v>
      </c>
      <c r="K57" s="27">
        <v>2</v>
      </c>
      <c r="L57" s="28">
        <f t="shared" si="30"/>
        <v>244493</v>
      </c>
      <c r="M57" s="28">
        <f t="shared" si="31"/>
        <v>677214.2</v>
      </c>
      <c r="N57" s="29">
        <f t="shared" si="32"/>
        <v>0.63897242556343326</v>
      </c>
      <c r="O57" s="30" t="s">
        <v>63</v>
      </c>
      <c r="R57" s="10">
        <v>1</v>
      </c>
      <c r="S57" s="57">
        <v>65664.399999999994</v>
      </c>
      <c r="T57" s="57">
        <v>525618.4</v>
      </c>
      <c r="U57" s="57">
        <v>895502.5</v>
      </c>
      <c r="V57" s="57">
        <v>885190</v>
      </c>
      <c r="W57" s="57">
        <v>641378.4</v>
      </c>
      <c r="X57" s="57">
        <v>468509.5</v>
      </c>
      <c r="Y57" s="57">
        <v>332178.59999999998</v>
      </c>
      <c r="AA57" s="27">
        <v>2</v>
      </c>
      <c r="AB57" s="28">
        <f t="shared" si="33"/>
        <v>633284.5</v>
      </c>
      <c r="AC57" s="28">
        <f t="shared" si="34"/>
        <v>1198469.5999999999</v>
      </c>
      <c r="AD57" s="29">
        <f t="shared" si="35"/>
        <v>0.47158901652574253</v>
      </c>
      <c r="AE57" s="30" t="s">
        <v>63</v>
      </c>
    </row>
    <row r="58" spans="1:36" ht="15.75" customHeight="1" x14ac:dyDescent="0.2">
      <c r="B58" s="10">
        <v>2</v>
      </c>
      <c r="C58" s="57">
        <v>6682.9560000000001</v>
      </c>
      <c r="D58" s="57">
        <v>93535.37</v>
      </c>
      <c r="E58" s="57">
        <v>251106.4</v>
      </c>
      <c r="F58" s="57">
        <v>417761.6</v>
      </c>
      <c r="G58" s="57">
        <v>484164.5</v>
      </c>
      <c r="H58" s="57">
        <v>388952.9</v>
      </c>
      <c r="I58" s="57">
        <v>244493</v>
      </c>
      <c r="K58" s="27">
        <v>3</v>
      </c>
      <c r="L58" s="28">
        <f t="shared" si="30"/>
        <v>206316.4</v>
      </c>
      <c r="M58" s="28">
        <f t="shared" si="31"/>
        <v>432721.19999999995</v>
      </c>
      <c r="N58" s="29">
        <f t="shared" si="32"/>
        <v>0.52321171229881969</v>
      </c>
      <c r="O58" s="32" t="s">
        <v>64</v>
      </c>
      <c r="R58" s="10">
        <v>2</v>
      </c>
      <c r="S58" s="57">
        <v>7515.7269999999999</v>
      </c>
      <c r="T58" s="57">
        <v>122938.6</v>
      </c>
      <c r="U58" s="57">
        <v>382569.2</v>
      </c>
      <c r="V58" s="57">
        <v>652655.19999999995</v>
      </c>
      <c r="W58" s="57">
        <v>762340.5</v>
      </c>
      <c r="X58" s="57">
        <v>746357.4</v>
      </c>
      <c r="Y58" s="57">
        <v>633284.5</v>
      </c>
      <c r="AA58" s="27">
        <v>3</v>
      </c>
      <c r="AB58" s="28">
        <f t="shared" si="33"/>
        <v>354960.7</v>
      </c>
      <c r="AC58" s="28">
        <f t="shared" si="34"/>
        <v>565185.1</v>
      </c>
      <c r="AD58" s="29">
        <f t="shared" si="35"/>
        <v>0.37195672709701655</v>
      </c>
      <c r="AE58" s="32" t="s">
        <v>64</v>
      </c>
    </row>
    <row r="59" spans="1:36" ht="15.75" customHeight="1" x14ac:dyDescent="0.2">
      <c r="B59" s="10">
        <v>3</v>
      </c>
      <c r="C59" s="57">
        <v>800.75419999999997</v>
      </c>
      <c r="D59" s="57">
        <v>22453.94</v>
      </c>
      <c r="E59" s="57">
        <v>85195.37</v>
      </c>
      <c r="F59" s="57">
        <v>188376.8</v>
      </c>
      <c r="G59" s="57">
        <v>271670.40000000002</v>
      </c>
      <c r="H59" s="57">
        <v>279040.7</v>
      </c>
      <c r="I59" s="57">
        <v>206316.4</v>
      </c>
      <c r="K59" s="27" t="s">
        <v>64</v>
      </c>
      <c r="L59" s="28">
        <f t="shared" si="30"/>
        <v>226404.8</v>
      </c>
      <c r="M59" s="28">
        <f t="shared" si="31"/>
        <v>226404.8</v>
      </c>
      <c r="N59" s="33" t="s">
        <v>65</v>
      </c>
      <c r="O59" s="32"/>
      <c r="R59" s="10">
        <v>3</v>
      </c>
      <c r="S59" s="57">
        <v>822.92859999999996</v>
      </c>
      <c r="T59" s="57">
        <v>24502.37</v>
      </c>
      <c r="U59" s="57">
        <v>111787.4</v>
      </c>
      <c r="V59" s="57">
        <v>248766.1</v>
      </c>
      <c r="W59" s="57">
        <v>331304.2</v>
      </c>
      <c r="X59" s="57">
        <v>369279.3</v>
      </c>
      <c r="Y59" s="57">
        <v>354960.7</v>
      </c>
      <c r="AA59" s="27" t="s">
        <v>64</v>
      </c>
      <c r="AB59" s="28">
        <f t="shared" si="33"/>
        <v>210224.4</v>
      </c>
      <c r="AC59" s="28">
        <f t="shared" si="34"/>
        <v>210224.4</v>
      </c>
      <c r="AD59" s="33" t="s">
        <v>65</v>
      </c>
      <c r="AE59" s="32"/>
    </row>
    <row r="60" spans="1:36" ht="15.75" customHeight="1" x14ac:dyDescent="0.2">
      <c r="B60" s="10" t="s">
        <v>64</v>
      </c>
      <c r="C60" s="57">
        <v>323.19900000000001</v>
      </c>
      <c r="D60" s="57">
        <v>8106.3720000000003</v>
      </c>
      <c r="E60" s="57">
        <v>37668.68</v>
      </c>
      <c r="F60" s="57">
        <v>103351.3</v>
      </c>
      <c r="G60" s="57">
        <v>184825.60000000001</v>
      </c>
      <c r="H60" s="57">
        <v>234890.8</v>
      </c>
      <c r="I60" s="57">
        <v>226404.8</v>
      </c>
      <c r="R60" s="10" t="s">
        <v>64</v>
      </c>
      <c r="S60" s="57">
        <v>263.90140000000002</v>
      </c>
      <c r="T60" s="57">
        <v>5685.1379999999999</v>
      </c>
      <c r="U60" s="57">
        <v>37779.879999999997</v>
      </c>
      <c r="V60" s="57">
        <v>110563</v>
      </c>
      <c r="W60" s="57">
        <v>161603.9</v>
      </c>
      <c r="X60" s="57">
        <v>199747.1</v>
      </c>
      <c r="Y60" s="57">
        <v>210224.4</v>
      </c>
    </row>
    <row r="61" spans="1:36" ht="15.75" customHeight="1" x14ac:dyDescent="0.2"/>
    <row r="62" spans="1:36" ht="15.75" customHeight="1" x14ac:dyDescent="0.2"/>
    <row r="63" spans="1:36" ht="15.75" customHeight="1" x14ac:dyDescent="0.2">
      <c r="A63" s="39" t="s">
        <v>69</v>
      </c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</row>
    <row r="64" spans="1:36" ht="15.75" customHeight="1" x14ac:dyDescent="0.2"/>
    <row r="65" spans="1:36" ht="15.75" customHeight="1" x14ac:dyDescent="0.2">
      <c r="A65" s="10" t="s">
        <v>42</v>
      </c>
      <c r="B65" s="10" t="s">
        <v>96</v>
      </c>
      <c r="C65" s="10" t="s">
        <v>44</v>
      </c>
      <c r="D65" s="10" t="s">
        <v>45</v>
      </c>
      <c r="E65" s="10" t="s">
        <v>84</v>
      </c>
      <c r="K65" s="175">
        <f>E64</f>
        <v>0</v>
      </c>
      <c r="L65" s="176"/>
      <c r="M65" s="176"/>
      <c r="N65" s="176"/>
      <c r="O65" s="177"/>
      <c r="Q65" s="10" t="s">
        <v>42</v>
      </c>
      <c r="R65" s="10" t="s">
        <v>96</v>
      </c>
      <c r="S65" s="10" t="s">
        <v>44</v>
      </c>
      <c r="T65" s="10" t="s">
        <v>45</v>
      </c>
      <c r="U65" s="10" t="s">
        <v>86</v>
      </c>
      <c r="AA65" s="175">
        <f>U64</f>
        <v>0</v>
      </c>
      <c r="AB65" s="176"/>
      <c r="AC65" s="176"/>
      <c r="AD65" s="176"/>
      <c r="AE65" s="177"/>
    </row>
    <row r="66" spans="1:36" ht="20.25" customHeight="1" x14ac:dyDescent="0.2">
      <c r="B66" s="10" t="s">
        <v>48</v>
      </c>
      <c r="K66" s="25" t="s">
        <v>49</v>
      </c>
      <c r="L66" s="26" t="s">
        <v>50</v>
      </c>
      <c r="M66" s="26" t="s">
        <v>51</v>
      </c>
      <c r="N66" s="26" t="s">
        <v>52</v>
      </c>
      <c r="O66" s="25" t="s">
        <v>53</v>
      </c>
      <c r="R66" s="10" t="s">
        <v>48</v>
      </c>
      <c r="AA66" s="25" t="s">
        <v>49</v>
      </c>
      <c r="AB66" s="26" t="s">
        <v>50</v>
      </c>
      <c r="AC66" s="26" t="s">
        <v>51</v>
      </c>
      <c r="AD66" s="26" t="s">
        <v>52</v>
      </c>
      <c r="AE66" s="25" t="s">
        <v>53</v>
      </c>
    </row>
    <row r="67" spans="1:36" ht="15.75" customHeight="1" x14ac:dyDescent="0.2">
      <c r="A67" s="10" t="s">
        <v>49</v>
      </c>
      <c r="B67" s="10" t="s">
        <v>54</v>
      </c>
      <c r="C67" s="10" t="s">
        <v>55</v>
      </c>
      <c r="D67" s="10" t="s">
        <v>56</v>
      </c>
      <c r="E67" s="10" t="s">
        <v>57</v>
      </c>
      <c r="F67" s="10" t="s">
        <v>58</v>
      </c>
      <c r="G67" s="10" t="s">
        <v>59</v>
      </c>
      <c r="H67" s="10" t="s">
        <v>60</v>
      </c>
      <c r="K67" s="27">
        <v>0</v>
      </c>
      <c r="L67" s="28">
        <f>I68</f>
        <v>431754.47</v>
      </c>
      <c r="M67" s="28">
        <f t="shared" ref="M67:M71" si="36">SUM($L67:L$71)</f>
        <v>4510458.0199999996</v>
      </c>
      <c r="N67" s="29">
        <f>M68/M67</f>
        <v>0.90427702284656231</v>
      </c>
      <c r="O67" s="30" t="s">
        <v>61</v>
      </c>
      <c r="P67" s="31">
        <f>N67+N67*N68+N67*N68*N69+N67*N68*N69*N70</f>
        <v>2.6951535622539726</v>
      </c>
      <c r="Q67" s="10" t="s">
        <v>49</v>
      </c>
      <c r="R67" s="10" t="s">
        <v>54</v>
      </c>
      <c r="S67" s="10" t="s">
        <v>55</v>
      </c>
      <c r="T67" s="10" t="s">
        <v>56</v>
      </c>
      <c r="U67" s="10" t="s">
        <v>57</v>
      </c>
      <c r="V67" s="10" t="s">
        <v>58</v>
      </c>
      <c r="W67" s="10" t="s">
        <v>59</v>
      </c>
      <c r="X67" s="10" t="s">
        <v>60</v>
      </c>
      <c r="AA67" s="27">
        <v>0</v>
      </c>
      <c r="AB67" s="28">
        <f t="shared" ref="AB67:AB71" si="37">Y68</f>
        <v>759427.43799999997</v>
      </c>
      <c r="AC67" s="28">
        <f t="shared" ref="AC67:AC71" si="38">SUM($AB67:AB$71)</f>
        <v>6141924.8190000001</v>
      </c>
      <c r="AD67" s="29">
        <f t="shared" ref="AD67:AD70" si="39">AC68/AC67</f>
        <v>0.87635351125583349</v>
      </c>
      <c r="AE67" s="30" t="s">
        <v>61</v>
      </c>
      <c r="AF67" s="31">
        <f>AD67+AD67*AD68+AD67*AD68*AD69+AD67*AD68*AD69*AD70</f>
        <v>2.2366594753005558</v>
      </c>
    </row>
    <row r="68" spans="1:36" ht="15.75" customHeight="1" x14ac:dyDescent="0.2">
      <c r="B68" s="10">
        <v>0</v>
      </c>
      <c r="C68" s="10">
        <v>7580743.3600000003</v>
      </c>
      <c r="D68" s="10">
        <v>4236759.32</v>
      </c>
      <c r="E68" s="10">
        <v>2141209.91</v>
      </c>
      <c r="F68" s="10">
        <v>1190552.3899999999</v>
      </c>
      <c r="G68" s="10">
        <v>782287.92</v>
      </c>
      <c r="H68" s="10">
        <v>551009.67000000004</v>
      </c>
      <c r="I68" s="10">
        <v>431754.47</v>
      </c>
      <c r="K68" s="27">
        <v>1</v>
      </c>
      <c r="L68" s="28">
        <f>I69</f>
        <v>419638.85</v>
      </c>
      <c r="M68" s="28">
        <f t="shared" si="36"/>
        <v>4078703.55</v>
      </c>
      <c r="N68" s="29">
        <f t="shared" ref="N68:N70" si="40">M69/M68</f>
        <v>0.89711464810920138</v>
      </c>
      <c r="O68" s="30" t="s">
        <v>62</v>
      </c>
      <c r="R68" s="10">
        <v>0</v>
      </c>
      <c r="S68" s="10">
        <v>7432755.0190000003</v>
      </c>
      <c r="T68" s="10">
        <v>5228683.8490000004</v>
      </c>
      <c r="U68" s="10">
        <v>3446350.42</v>
      </c>
      <c r="V68" s="10">
        <v>1930097.781</v>
      </c>
      <c r="W68" s="10">
        <v>1144973.629</v>
      </c>
      <c r="X68" s="10">
        <v>897348.36600000004</v>
      </c>
      <c r="Y68" s="10">
        <v>759427.43799999997</v>
      </c>
      <c r="AA68" s="27">
        <v>1</v>
      </c>
      <c r="AB68" s="28">
        <f t="shared" si="37"/>
        <v>888540.25899999996</v>
      </c>
      <c r="AC68" s="28">
        <f t="shared" si="38"/>
        <v>5382497.3810000001</v>
      </c>
      <c r="AD68" s="29">
        <f t="shared" si="39"/>
        <v>0.8349204474977524</v>
      </c>
      <c r="AE68" s="30" t="s">
        <v>62</v>
      </c>
    </row>
    <row r="69" spans="1:36" ht="15.75" customHeight="1" x14ac:dyDescent="0.2">
      <c r="B69" s="10">
        <v>1</v>
      </c>
      <c r="C69" s="10">
        <v>1034085.41</v>
      </c>
      <c r="D69" s="10">
        <v>2077719.9</v>
      </c>
      <c r="E69" s="10">
        <v>1798750.43</v>
      </c>
      <c r="F69" s="10">
        <v>1323564.6399999999</v>
      </c>
      <c r="G69" s="10">
        <v>911636.33</v>
      </c>
      <c r="H69" s="10">
        <v>598081.36</v>
      </c>
      <c r="I69" s="10">
        <v>419638.85</v>
      </c>
      <c r="K69" s="27">
        <v>2</v>
      </c>
      <c r="L69" s="28">
        <f t="shared" ref="L69:L71" si="41">I70</f>
        <v>969239.66</v>
      </c>
      <c r="M69" s="28">
        <f t="shared" si="36"/>
        <v>3659064.7</v>
      </c>
      <c r="N69" s="29">
        <f t="shared" si="40"/>
        <v>0.7351127297639749</v>
      </c>
      <c r="O69" s="30" t="s">
        <v>63</v>
      </c>
      <c r="R69" s="10">
        <v>1</v>
      </c>
      <c r="S69" s="10">
        <v>833140.54399999999</v>
      </c>
      <c r="T69" s="10">
        <v>2164320.6660000002</v>
      </c>
      <c r="U69" s="10">
        <v>2476076.1090000002</v>
      </c>
      <c r="V69" s="10">
        <v>2104515.6060000001</v>
      </c>
      <c r="W69" s="10">
        <v>1515643.203</v>
      </c>
      <c r="X69" s="10">
        <v>1150826.8149999999</v>
      </c>
      <c r="Y69" s="10">
        <v>888540.25899999996</v>
      </c>
      <c r="AA69" s="27">
        <v>2</v>
      </c>
      <c r="AB69" s="28">
        <f t="shared" si="37"/>
        <v>1910823.0560000001</v>
      </c>
      <c r="AC69" s="28">
        <f t="shared" si="38"/>
        <v>4493957.1220000004</v>
      </c>
      <c r="AD69" s="29">
        <f t="shared" si="39"/>
        <v>0.57480167163909124</v>
      </c>
      <c r="AE69" s="30" t="s">
        <v>63</v>
      </c>
    </row>
    <row r="70" spans="1:36" ht="15.75" customHeight="1" x14ac:dyDescent="0.2">
      <c r="B70" s="10">
        <v>2</v>
      </c>
      <c r="C70" s="10">
        <v>245106.51</v>
      </c>
      <c r="D70" s="10">
        <v>1109888.9099999999</v>
      </c>
      <c r="E70" s="10">
        <v>1614196.96</v>
      </c>
      <c r="F70" s="10">
        <v>1905309.47</v>
      </c>
      <c r="G70" s="10">
        <v>1833818.23</v>
      </c>
      <c r="H70" s="10">
        <v>1395286.7</v>
      </c>
      <c r="I70" s="10">
        <v>969239.66</v>
      </c>
      <c r="K70" s="27">
        <v>3</v>
      </c>
      <c r="L70" s="28">
        <f t="shared" si="41"/>
        <v>961041.33</v>
      </c>
      <c r="M70" s="28">
        <f t="shared" si="36"/>
        <v>2689825.04</v>
      </c>
      <c r="N70" s="29">
        <f t="shared" si="40"/>
        <v>0.64271232674672396</v>
      </c>
      <c r="O70" s="32" t="s">
        <v>64</v>
      </c>
      <c r="R70" s="10">
        <v>2</v>
      </c>
      <c r="S70" s="10">
        <v>139071.571</v>
      </c>
      <c r="T70" s="10">
        <v>860036.64899999998</v>
      </c>
      <c r="U70" s="10">
        <v>1622638.2749999999</v>
      </c>
      <c r="V70" s="10">
        <v>2151101.4610000001</v>
      </c>
      <c r="W70" s="10">
        <v>2267352.8160000001</v>
      </c>
      <c r="X70" s="10">
        <v>2177745.0529999998</v>
      </c>
      <c r="Y70" s="10">
        <v>1910823.0560000001</v>
      </c>
      <c r="AA70" s="27">
        <v>3</v>
      </c>
      <c r="AB70" s="28">
        <f t="shared" si="37"/>
        <v>1305328.2919999999</v>
      </c>
      <c r="AC70" s="28">
        <f t="shared" si="38"/>
        <v>2583134.0659999996</v>
      </c>
      <c r="AD70" s="29">
        <f t="shared" si="39"/>
        <v>0.4946726501031713</v>
      </c>
      <c r="AE70" s="32" t="s">
        <v>64</v>
      </c>
    </row>
    <row r="71" spans="1:36" ht="15.75" customHeight="1" x14ac:dyDescent="0.2">
      <c r="B71" s="10">
        <v>3</v>
      </c>
      <c r="C71" s="10">
        <v>48022.62</v>
      </c>
      <c r="D71" s="10">
        <v>450845.81</v>
      </c>
      <c r="E71" s="10">
        <v>855765.9</v>
      </c>
      <c r="F71" s="10">
        <v>1169434.7</v>
      </c>
      <c r="G71" s="10">
        <v>1320331.95</v>
      </c>
      <c r="H71" s="10">
        <v>1210560.81</v>
      </c>
      <c r="I71" s="10">
        <v>961041.33</v>
      </c>
      <c r="K71" s="27" t="s">
        <v>64</v>
      </c>
      <c r="L71" s="28">
        <f t="shared" si="41"/>
        <v>1728783.71</v>
      </c>
      <c r="M71" s="28">
        <f t="shared" si="36"/>
        <v>1728783.71</v>
      </c>
      <c r="N71" s="33" t="s">
        <v>65</v>
      </c>
      <c r="O71" s="32"/>
      <c r="R71" s="10">
        <v>3</v>
      </c>
      <c r="S71" s="10">
        <v>19925.316999999999</v>
      </c>
      <c r="T71" s="10">
        <v>268673.91999999998</v>
      </c>
      <c r="U71" s="10">
        <v>712199.48800000001</v>
      </c>
      <c r="V71" s="10">
        <v>1103975.817</v>
      </c>
      <c r="W71" s="10">
        <v>1259837.9890000001</v>
      </c>
      <c r="X71" s="10">
        <v>1334649.145</v>
      </c>
      <c r="Y71" s="10">
        <v>1305328.2919999999</v>
      </c>
      <c r="AA71" s="27" t="s">
        <v>64</v>
      </c>
      <c r="AB71" s="28">
        <f t="shared" si="37"/>
        <v>1277805.774</v>
      </c>
      <c r="AC71" s="28">
        <f t="shared" si="38"/>
        <v>1277805.774</v>
      </c>
      <c r="AD71" s="33" t="s">
        <v>65</v>
      </c>
      <c r="AE71" s="32"/>
    </row>
    <row r="72" spans="1:36" ht="15.75" customHeight="1" x14ac:dyDescent="0.2">
      <c r="B72" s="10" t="s">
        <v>64</v>
      </c>
      <c r="C72" s="10">
        <v>13336.94</v>
      </c>
      <c r="D72" s="10">
        <v>219261.58</v>
      </c>
      <c r="E72" s="10">
        <v>623269.17000000004</v>
      </c>
      <c r="F72" s="10">
        <v>1075655.8500000001</v>
      </c>
      <c r="G72" s="10">
        <v>1456703.88</v>
      </c>
      <c r="H72" s="10">
        <v>1679170.46</v>
      </c>
      <c r="I72" s="10">
        <v>1728783.71</v>
      </c>
      <c r="R72" s="10" t="s">
        <v>64</v>
      </c>
      <c r="S72" s="10">
        <v>4287.4970000000003</v>
      </c>
      <c r="T72" s="10">
        <v>91483.445000000007</v>
      </c>
      <c r="U72" s="10">
        <v>386863.10100000002</v>
      </c>
      <c r="V72" s="10">
        <v>736844.76300000004</v>
      </c>
      <c r="W72" s="10">
        <v>933206.21900000004</v>
      </c>
      <c r="X72" s="10">
        <v>1127955.9709999999</v>
      </c>
      <c r="Y72" s="10">
        <v>1277805.774</v>
      </c>
    </row>
    <row r="73" spans="1:36" ht="15.75" customHeight="1" x14ac:dyDescent="0.2"/>
    <row r="74" spans="1:36" ht="15.75" customHeight="1" x14ac:dyDescent="0.2">
      <c r="A74" s="39" t="s">
        <v>78</v>
      </c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</row>
    <row r="75" spans="1:36" ht="15.75" customHeight="1" x14ac:dyDescent="0.2"/>
    <row r="76" spans="1:36" ht="15.75" customHeight="1" x14ac:dyDescent="0.2">
      <c r="A76" s="10" t="s">
        <v>42</v>
      </c>
      <c r="B76" s="10" t="s">
        <v>96</v>
      </c>
      <c r="C76" s="10" t="s">
        <v>44</v>
      </c>
      <c r="D76" s="10" t="s">
        <v>45</v>
      </c>
      <c r="E76" s="10" t="s">
        <v>84</v>
      </c>
      <c r="K76" s="175">
        <f>E75</f>
        <v>0</v>
      </c>
      <c r="L76" s="176"/>
      <c r="M76" s="176"/>
      <c r="N76" s="176"/>
      <c r="O76" s="177"/>
      <c r="Q76" s="10" t="s">
        <v>42</v>
      </c>
      <c r="R76" s="10" t="s">
        <v>96</v>
      </c>
      <c r="S76" s="10" t="s">
        <v>44</v>
      </c>
      <c r="T76" s="10" t="s">
        <v>45</v>
      </c>
      <c r="U76" s="10" t="s">
        <v>86</v>
      </c>
      <c r="AA76" s="175">
        <f>U75</f>
        <v>0</v>
      </c>
      <c r="AB76" s="176"/>
      <c r="AC76" s="176"/>
      <c r="AD76" s="176"/>
      <c r="AE76" s="177"/>
    </row>
    <row r="77" spans="1:36" ht="20.25" customHeight="1" x14ac:dyDescent="0.2">
      <c r="B77" s="10" t="s">
        <v>48</v>
      </c>
      <c r="K77" s="25" t="s">
        <v>49</v>
      </c>
      <c r="L77" s="26" t="s">
        <v>50</v>
      </c>
      <c r="M77" s="26" t="s">
        <v>51</v>
      </c>
      <c r="N77" s="26" t="s">
        <v>52</v>
      </c>
      <c r="O77" s="25" t="s">
        <v>53</v>
      </c>
      <c r="R77" s="10" t="s">
        <v>48</v>
      </c>
      <c r="AA77" s="25" t="s">
        <v>49</v>
      </c>
      <c r="AB77" s="26" t="s">
        <v>50</v>
      </c>
      <c r="AC77" s="26" t="s">
        <v>51</v>
      </c>
      <c r="AD77" s="26" t="s">
        <v>52</v>
      </c>
      <c r="AE77" s="25" t="s">
        <v>53</v>
      </c>
    </row>
    <row r="78" spans="1:36" ht="15.75" customHeight="1" x14ac:dyDescent="0.2">
      <c r="A78" s="10" t="s">
        <v>49</v>
      </c>
      <c r="B78" s="10" t="s">
        <v>54</v>
      </c>
      <c r="C78" s="10" t="s">
        <v>55</v>
      </c>
      <c r="D78" s="10" t="s">
        <v>56</v>
      </c>
      <c r="E78" s="10" t="s">
        <v>57</v>
      </c>
      <c r="F78" s="10" t="s">
        <v>58</v>
      </c>
      <c r="G78" s="10" t="s">
        <v>59</v>
      </c>
      <c r="H78" s="10" t="s">
        <v>60</v>
      </c>
      <c r="K78" s="27">
        <v>0</v>
      </c>
      <c r="L78" s="28">
        <f>I79</f>
        <v>241744.06741000002</v>
      </c>
      <c r="M78" s="28">
        <f t="shared" ref="M78:M82" si="42">SUM($L78:L$82)</f>
        <v>2180876.6773999999</v>
      </c>
      <c r="N78" s="29">
        <f t="shared" ref="N78:N81" si="43">M79/M78</f>
        <v>0.88915280267098706</v>
      </c>
      <c r="O78" s="30" t="s">
        <v>61</v>
      </c>
      <c r="P78" s="31">
        <f>N78+N78*N79+N78*N79*N80+N78*N79*N80*N81</f>
        <v>2.5570515810634165</v>
      </c>
      <c r="Q78" s="10" t="s">
        <v>49</v>
      </c>
      <c r="R78" s="10" t="s">
        <v>54</v>
      </c>
      <c r="S78" s="10" t="s">
        <v>55</v>
      </c>
      <c r="T78" s="10" t="s">
        <v>56</v>
      </c>
      <c r="U78" s="10" t="s">
        <v>57</v>
      </c>
      <c r="V78" s="10" t="s">
        <v>58</v>
      </c>
      <c r="W78" s="10" t="s">
        <v>59</v>
      </c>
      <c r="X78" s="10" t="s">
        <v>60</v>
      </c>
      <c r="AA78" s="27">
        <v>0</v>
      </c>
      <c r="AB78" s="28">
        <f t="shared" ref="AB78:AB82" si="44">Y79</f>
        <v>468838.73380000005</v>
      </c>
      <c r="AC78" s="28">
        <f t="shared" ref="AC78:AC82" si="45">SUM($AB78:AB$82)</f>
        <v>3711499.7118600002</v>
      </c>
      <c r="AD78" s="29">
        <f t="shared" ref="AD78:AD81" si="46">AC79/AC78</f>
        <v>0.87367943683200666</v>
      </c>
      <c r="AE78" s="30" t="s">
        <v>61</v>
      </c>
      <c r="AF78" s="31">
        <f>AD78+AD78*AD79+AD78*AD79*AD80+AD78*AD79*AD80*AD81</f>
        <v>2.1443669204412998</v>
      </c>
    </row>
    <row r="79" spans="1:36" ht="15.75" customHeight="1" x14ac:dyDescent="0.2">
      <c r="B79" s="10">
        <v>0</v>
      </c>
      <c r="C79" s="57">
        <f t="shared" ref="C79:I83" si="47">C6+C16+C26+C36+C46+C56</f>
        <v>1925790.8606</v>
      </c>
      <c r="D79" s="57">
        <f t="shared" si="47"/>
        <v>2332627.15</v>
      </c>
      <c r="E79" s="57">
        <f t="shared" si="47"/>
        <v>1435182.4410000001</v>
      </c>
      <c r="F79" s="57">
        <f t="shared" si="47"/>
        <v>812345.071</v>
      </c>
      <c r="G79" s="57">
        <f t="shared" si="47"/>
        <v>515014.21860000002</v>
      </c>
      <c r="H79" s="57">
        <f t="shared" si="47"/>
        <v>341707.88179999997</v>
      </c>
      <c r="I79" s="57">
        <f t="shared" si="47"/>
        <v>241744.06741000002</v>
      </c>
      <c r="K79" s="27">
        <v>1</v>
      </c>
      <c r="L79" s="28">
        <f>I80</f>
        <v>232560.17671999999</v>
      </c>
      <c r="M79" s="28">
        <f t="shared" si="42"/>
        <v>1939132.60999</v>
      </c>
      <c r="N79" s="29">
        <f t="shared" si="43"/>
        <v>0.88006999855404455</v>
      </c>
      <c r="O79" s="30" t="s">
        <v>62</v>
      </c>
      <c r="R79" s="10">
        <v>0</v>
      </c>
      <c r="S79" s="57">
        <f t="shared" ref="S79:Y83" si="48">S6+S16+S26+S36+S46+S56</f>
        <v>1907316.4427</v>
      </c>
      <c r="T79" s="57">
        <f t="shared" si="48"/>
        <v>3068894.6639999999</v>
      </c>
      <c r="U79" s="57">
        <f t="shared" si="48"/>
        <v>2457947.9390000002</v>
      </c>
      <c r="V79" s="57">
        <f t="shared" si="48"/>
        <v>1396410.3389999999</v>
      </c>
      <c r="W79" s="57">
        <f t="shared" si="48"/>
        <v>790506.01799999992</v>
      </c>
      <c r="X79" s="57">
        <f t="shared" si="48"/>
        <v>588257.15919999999</v>
      </c>
      <c r="Y79" s="57">
        <f t="shared" si="48"/>
        <v>468838.73380000005</v>
      </c>
      <c r="AA79" s="27">
        <v>1</v>
      </c>
      <c r="AB79" s="28">
        <f t="shared" si="44"/>
        <v>593212.9926</v>
      </c>
      <c r="AC79" s="28">
        <f t="shared" si="45"/>
        <v>3242660.9780600001</v>
      </c>
      <c r="AD79" s="29">
        <f t="shared" si="46"/>
        <v>0.81705981704109443</v>
      </c>
      <c r="AE79" s="30" t="s">
        <v>62</v>
      </c>
    </row>
    <row r="80" spans="1:36" ht="15.75" customHeight="1" x14ac:dyDescent="0.2">
      <c r="B80" s="10">
        <v>1</v>
      </c>
      <c r="C80" s="57">
        <f t="shared" si="47"/>
        <v>215174.77600000001</v>
      </c>
      <c r="D80" s="57">
        <f t="shared" si="47"/>
        <v>799444.41079999995</v>
      </c>
      <c r="E80" s="57">
        <f t="shared" si="47"/>
        <v>930296.21200000006</v>
      </c>
      <c r="F80" s="57">
        <f t="shared" si="47"/>
        <v>786582.93800000008</v>
      </c>
      <c r="G80" s="57">
        <f t="shared" si="47"/>
        <v>566597.06839999999</v>
      </c>
      <c r="H80" s="57">
        <f t="shared" si="47"/>
        <v>368470.87790000002</v>
      </c>
      <c r="I80" s="57">
        <f t="shared" si="47"/>
        <v>232560.17671999999</v>
      </c>
      <c r="K80" s="27">
        <v>2</v>
      </c>
      <c r="L80" s="28">
        <f t="shared" ref="L80:L82" si="49">I81</f>
        <v>505825.24289999995</v>
      </c>
      <c r="M80" s="28">
        <f t="shared" si="42"/>
        <v>1706572.4332699999</v>
      </c>
      <c r="N80" s="29">
        <f t="shared" si="43"/>
        <v>0.70360165613903802</v>
      </c>
      <c r="O80" s="30" t="s">
        <v>63</v>
      </c>
      <c r="R80" s="10">
        <v>1</v>
      </c>
      <c r="S80" s="57">
        <f t="shared" si="48"/>
        <v>210332.67955</v>
      </c>
      <c r="T80" s="57">
        <f t="shared" si="48"/>
        <v>1016922.2268000001</v>
      </c>
      <c r="U80" s="57">
        <f t="shared" si="48"/>
        <v>1516732.335</v>
      </c>
      <c r="V80" s="57">
        <f t="shared" si="48"/>
        <v>1449193.8559999999</v>
      </c>
      <c r="W80" s="57">
        <f t="shared" si="48"/>
        <v>1071511.078</v>
      </c>
      <c r="X80" s="57">
        <f t="shared" si="48"/>
        <v>806684.27599999995</v>
      </c>
      <c r="Y80" s="57">
        <f t="shared" si="48"/>
        <v>593212.9926</v>
      </c>
      <c r="AA80" s="27">
        <v>2</v>
      </c>
      <c r="AB80" s="28">
        <f t="shared" si="44"/>
        <v>1227861.9347000001</v>
      </c>
      <c r="AC80" s="28">
        <f t="shared" si="45"/>
        <v>2649447.9854600001</v>
      </c>
      <c r="AD80" s="29">
        <f t="shared" si="46"/>
        <v>0.53655933559049762</v>
      </c>
      <c r="AE80" s="30" t="s">
        <v>63</v>
      </c>
    </row>
    <row r="81" spans="1:36" ht="15.75" customHeight="1" x14ac:dyDescent="0.2">
      <c r="B81" s="10">
        <v>2</v>
      </c>
      <c r="C81" s="57">
        <f t="shared" si="47"/>
        <v>43229.395208999995</v>
      </c>
      <c r="D81" s="57">
        <f t="shared" si="47"/>
        <v>320287.3161</v>
      </c>
      <c r="E81" s="57">
        <f t="shared" si="47"/>
        <v>651315.5331</v>
      </c>
      <c r="F81" s="57">
        <f t="shared" si="47"/>
        <v>951957.77299999993</v>
      </c>
      <c r="G81" s="57">
        <f t="shared" si="47"/>
        <v>1018518.8918</v>
      </c>
      <c r="H81" s="57">
        <f t="shared" si="47"/>
        <v>789513.92220000003</v>
      </c>
      <c r="I81" s="57">
        <f t="shared" si="47"/>
        <v>505825.24289999995</v>
      </c>
      <c r="K81" s="27">
        <v>3</v>
      </c>
      <c r="L81" s="28">
        <f t="shared" si="49"/>
        <v>470585.26795000001</v>
      </c>
      <c r="M81" s="28">
        <f t="shared" si="42"/>
        <v>1200747.19037</v>
      </c>
      <c r="N81" s="29">
        <f t="shared" si="43"/>
        <v>0.60808963641631075</v>
      </c>
      <c r="O81" s="32" t="s">
        <v>64</v>
      </c>
      <c r="R81" s="10">
        <v>2</v>
      </c>
      <c r="S81" s="57">
        <f t="shared" si="48"/>
        <v>31596.013600000002</v>
      </c>
      <c r="T81" s="57">
        <f t="shared" si="48"/>
        <v>319216.84768999997</v>
      </c>
      <c r="U81" s="57">
        <f t="shared" si="48"/>
        <v>819842.24750000006</v>
      </c>
      <c r="V81" s="57">
        <f t="shared" si="48"/>
        <v>1297624.003</v>
      </c>
      <c r="W81" s="57">
        <f t="shared" si="48"/>
        <v>1476652.8859999999</v>
      </c>
      <c r="X81" s="57">
        <f t="shared" si="48"/>
        <v>1443171.9010000001</v>
      </c>
      <c r="Y81" s="57">
        <f t="shared" si="48"/>
        <v>1227861.9347000001</v>
      </c>
      <c r="AA81" s="27">
        <v>3</v>
      </c>
      <c r="AB81" s="28">
        <f t="shared" si="44"/>
        <v>776463.85770000005</v>
      </c>
      <c r="AC81" s="28">
        <f t="shared" si="45"/>
        <v>1421586.05076</v>
      </c>
      <c r="AD81" s="29">
        <f t="shared" si="46"/>
        <v>0.45380453242004487</v>
      </c>
      <c r="AE81" s="32" t="s">
        <v>64</v>
      </c>
    </row>
    <row r="82" spans="1:36" ht="15.75" customHeight="1" x14ac:dyDescent="0.2">
      <c r="B82" s="10">
        <v>3</v>
      </c>
      <c r="C82" s="57">
        <f t="shared" si="47"/>
        <v>7941.3763000000008</v>
      </c>
      <c r="D82" s="57">
        <f t="shared" si="47"/>
        <v>112676.651719</v>
      </c>
      <c r="E82" s="57">
        <f t="shared" si="47"/>
        <v>298913.74489999999</v>
      </c>
      <c r="F82" s="57">
        <f t="shared" si="47"/>
        <v>526209.75209999993</v>
      </c>
      <c r="G82" s="57">
        <f t="shared" si="47"/>
        <v>673804.84679999994</v>
      </c>
      <c r="H82" s="57">
        <f t="shared" si="47"/>
        <v>640540.94883999997</v>
      </c>
      <c r="I82" s="57">
        <f t="shared" si="47"/>
        <v>470585.26795000001</v>
      </c>
      <c r="K82" s="27" t="s">
        <v>64</v>
      </c>
      <c r="L82" s="28">
        <f t="shared" si="49"/>
        <v>730161.92241999996</v>
      </c>
      <c r="M82" s="28">
        <f t="shared" si="42"/>
        <v>730161.92241999996</v>
      </c>
      <c r="N82" s="33" t="s">
        <v>65</v>
      </c>
      <c r="O82" s="32"/>
      <c r="R82" s="10">
        <v>3</v>
      </c>
      <c r="S82" s="57">
        <f t="shared" si="48"/>
        <v>4441.5461599999999</v>
      </c>
      <c r="T82" s="57">
        <f t="shared" si="48"/>
        <v>86113.864000000001</v>
      </c>
      <c r="U82" s="57">
        <f t="shared" si="48"/>
        <v>314087.16954999999</v>
      </c>
      <c r="V82" s="57">
        <f t="shared" si="48"/>
        <v>604490.27740000002</v>
      </c>
      <c r="W82" s="57">
        <f t="shared" si="48"/>
        <v>756002.58370000008</v>
      </c>
      <c r="X82" s="57">
        <f t="shared" si="48"/>
        <v>818089.02639999997</v>
      </c>
      <c r="Y82" s="57">
        <f t="shared" si="48"/>
        <v>776463.85770000005</v>
      </c>
      <c r="AA82" s="27" t="s">
        <v>64</v>
      </c>
      <c r="AB82" s="28">
        <f t="shared" si="44"/>
        <v>645122.19305999996</v>
      </c>
      <c r="AC82" s="28">
        <f t="shared" si="45"/>
        <v>645122.19305999996</v>
      </c>
      <c r="AD82" s="33" t="s">
        <v>65</v>
      </c>
      <c r="AE82" s="32"/>
    </row>
    <row r="83" spans="1:36" ht="15.75" customHeight="1" x14ac:dyDescent="0.2">
      <c r="B83" s="10" t="s">
        <v>64</v>
      </c>
      <c r="C83" s="57">
        <f t="shared" si="47"/>
        <v>2439.47829</v>
      </c>
      <c r="D83" s="57">
        <f t="shared" si="47"/>
        <v>53004.430000000008</v>
      </c>
      <c r="E83" s="57">
        <f t="shared" si="47"/>
        <v>194687.465</v>
      </c>
      <c r="F83" s="57">
        <f t="shared" si="47"/>
        <v>425910.39409999998</v>
      </c>
      <c r="G83" s="57">
        <f t="shared" si="47"/>
        <v>646224.91543000005</v>
      </c>
      <c r="H83" s="57">
        <f t="shared" si="47"/>
        <v>758745.5797</v>
      </c>
      <c r="I83" s="57">
        <f t="shared" si="47"/>
        <v>730161.92241999996</v>
      </c>
      <c r="R83" s="10" t="s">
        <v>64</v>
      </c>
      <c r="S83" s="57">
        <f t="shared" si="48"/>
        <v>965.63261699999998</v>
      </c>
      <c r="T83" s="57">
        <f t="shared" si="48"/>
        <v>27473.900699999998</v>
      </c>
      <c r="U83" s="57">
        <f t="shared" si="48"/>
        <v>150658.45499999999</v>
      </c>
      <c r="V83" s="57">
        <f t="shared" si="48"/>
        <v>360171.71015</v>
      </c>
      <c r="W83" s="57">
        <f t="shared" si="48"/>
        <v>488357.1923900001</v>
      </c>
      <c r="X83" s="57">
        <f t="shared" si="48"/>
        <v>597651.59879999992</v>
      </c>
      <c r="Y83" s="57">
        <f t="shared" si="48"/>
        <v>645122.19305999996</v>
      </c>
    </row>
    <row r="84" spans="1:36" ht="15.75" customHeight="1" x14ac:dyDescent="0.2"/>
    <row r="85" spans="1:36" ht="15.75" customHeight="1" x14ac:dyDescent="0.2"/>
    <row r="86" spans="1:36" ht="15.75" customHeight="1" x14ac:dyDescent="0.2">
      <c r="A86" s="39" t="s">
        <v>79</v>
      </c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40"/>
    </row>
    <row r="87" spans="1:36" ht="15.75" customHeight="1" x14ac:dyDescent="0.2"/>
    <row r="88" spans="1:36" ht="15.75" customHeight="1" x14ac:dyDescent="0.2">
      <c r="A88" s="10" t="s">
        <v>42</v>
      </c>
      <c r="B88" s="10" t="s">
        <v>96</v>
      </c>
      <c r="C88" s="10" t="s">
        <v>44</v>
      </c>
      <c r="D88" s="10" t="s">
        <v>45</v>
      </c>
      <c r="E88" s="10" t="s">
        <v>84</v>
      </c>
      <c r="K88" s="175">
        <f>E87</f>
        <v>0</v>
      </c>
      <c r="L88" s="176"/>
      <c r="M88" s="176"/>
      <c r="N88" s="176"/>
      <c r="O88" s="177"/>
      <c r="Q88" s="10" t="s">
        <v>42</v>
      </c>
      <c r="R88" s="10" t="s">
        <v>96</v>
      </c>
      <c r="S88" s="10" t="s">
        <v>44</v>
      </c>
      <c r="T88" s="10" t="s">
        <v>45</v>
      </c>
      <c r="U88" s="10" t="s">
        <v>86</v>
      </c>
      <c r="AA88" s="175">
        <f>U87</f>
        <v>0</v>
      </c>
      <c r="AB88" s="176"/>
      <c r="AC88" s="176"/>
      <c r="AD88" s="176"/>
      <c r="AE88" s="177"/>
    </row>
    <row r="89" spans="1:36" ht="20.25" customHeight="1" x14ac:dyDescent="0.2">
      <c r="B89" s="10" t="s">
        <v>48</v>
      </c>
      <c r="K89" s="25" t="s">
        <v>49</v>
      </c>
      <c r="L89" s="26" t="s">
        <v>50</v>
      </c>
      <c r="M89" s="26" t="s">
        <v>51</v>
      </c>
      <c r="N89" s="26" t="s">
        <v>52</v>
      </c>
      <c r="O89" s="25" t="s">
        <v>53</v>
      </c>
      <c r="R89" s="10" t="s">
        <v>48</v>
      </c>
      <c r="AA89" s="25" t="s">
        <v>49</v>
      </c>
      <c r="AB89" s="26" t="s">
        <v>50</v>
      </c>
      <c r="AC89" s="26" t="s">
        <v>51</v>
      </c>
      <c r="AD89" s="26" t="s">
        <v>52</v>
      </c>
      <c r="AE89" s="25" t="s">
        <v>53</v>
      </c>
    </row>
    <row r="90" spans="1:36" ht="15.75" customHeight="1" x14ac:dyDescent="0.2">
      <c r="A90" s="10" t="s">
        <v>49</v>
      </c>
      <c r="B90" s="10" t="s">
        <v>54</v>
      </c>
      <c r="C90" s="10" t="s">
        <v>55</v>
      </c>
      <c r="D90" s="10" t="s">
        <v>56</v>
      </c>
      <c r="E90" s="10" t="s">
        <v>57</v>
      </c>
      <c r="F90" s="10" t="s">
        <v>58</v>
      </c>
      <c r="G90" s="10" t="s">
        <v>59</v>
      </c>
      <c r="H90" s="10" t="s">
        <v>60</v>
      </c>
      <c r="K90" s="27">
        <v>0</v>
      </c>
      <c r="L90" s="28">
        <f t="shared" ref="L90:L94" si="50">I91</f>
        <v>190010.40258999995</v>
      </c>
      <c r="M90" s="28">
        <f t="shared" ref="M90:M94" si="51">SUM($L90:L$94)</f>
        <v>2329581.3426000001</v>
      </c>
      <c r="N90" s="29">
        <f t="shared" ref="N90:N93" si="52">M91/M90</f>
        <v>0.91843581543371511</v>
      </c>
      <c r="O90" s="30" t="s">
        <v>61</v>
      </c>
      <c r="P90" s="31">
        <f>N90+N90*N91+N90*N91*N92+N90*N91*N92*N93</f>
        <v>2.8244400500763178</v>
      </c>
      <c r="Q90" s="10" t="s">
        <v>49</v>
      </c>
      <c r="R90" s="10" t="s">
        <v>54</v>
      </c>
      <c r="S90" s="10" t="s">
        <v>55</v>
      </c>
      <c r="T90" s="10" t="s">
        <v>56</v>
      </c>
      <c r="U90" s="10" t="s">
        <v>57</v>
      </c>
      <c r="V90" s="10" t="s">
        <v>58</v>
      </c>
      <c r="W90" s="10" t="s">
        <v>59</v>
      </c>
      <c r="X90" s="10" t="s">
        <v>60</v>
      </c>
      <c r="AA90" s="27">
        <v>0</v>
      </c>
      <c r="AB90" s="28">
        <f t="shared" ref="AB90:AB94" si="53">Y91</f>
        <v>290588.70419999992</v>
      </c>
      <c r="AC90" s="28">
        <f t="shared" ref="AC90:AC94" si="54">SUM($AB90:AB$94)</f>
        <v>2430425.10714</v>
      </c>
      <c r="AD90" s="29">
        <f t="shared" ref="AD90:AD93" si="55">AC91/AC90</f>
        <v>0.88043708759166395</v>
      </c>
      <c r="AE90" s="30" t="s">
        <v>61</v>
      </c>
      <c r="AF90" s="31">
        <f>AD90+AD90*AD91+AD90*AD91*AD92+AD90*AD91*AD92*AD93</f>
        <v>2.3775993420591073</v>
      </c>
    </row>
    <row r="91" spans="1:36" ht="15.75" customHeight="1" x14ac:dyDescent="0.2">
      <c r="B91" s="10">
        <v>0</v>
      </c>
      <c r="C91" s="57">
        <f t="shared" ref="C91:I95" si="56">C68-C79</f>
        <v>5654952.4994000001</v>
      </c>
      <c r="D91" s="57">
        <f t="shared" si="56"/>
        <v>1904132.1700000004</v>
      </c>
      <c r="E91" s="57">
        <f t="shared" si="56"/>
        <v>706027.46900000004</v>
      </c>
      <c r="F91" s="57">
        <f t="shared" si="56"/>
        <v>378207.3189999999</v>
      </c>
      <c r="G91" s="57">
        <f t="shared" si="56"/>
        <v>267273.70140000002</v>
      </c>
      <c r="H91" s="57">
        <f t="shared" si="56"/>
        <v>209301.78820000007</v>
      </c>
      <c r="I91" s="57">
        <f t="shared" si="56"/>
        <v>190010.40258999995</v>
      </c>
      <c r="K91" s="27">
        <v>1</v>
      </c>
      <c r="L91" s="28">
        <f t="shared" si="50"/>
        <v>187078.67327999999</v>
      </c>
      <c r="M91" s="28">
        <f t="shared" si="51"/>
        <v>2139570.94001</v>
      </c>
      <c r="N91" s="29">
        <f t="shared" si="52"/>
        <v>0.91256252841089458</v>
      </c>
      <c r="O91" s="30" t="s">
        <v>62</v>
      </c>
      <c r="R91" s="10">
        <v>0</v>
      </c>
      <c r="S91" s="58">
        <f t="shared" ref="S91:Y95" si="57">S68-S79</f>
        <v>5525438.5763000008</v>
      </c>
      <c r="T91" s="58">
        <f t="shared" si="57"/>
        <v>2159789.1850000005</v>
      </c>
      <c r="U91" s="58">
        <f t="shared" si="57"/>
        <v>988402.48099999968</v>
      </c>
      <c r="V91" s="58">
        <f t="shared" si="57"/>
        <v>533687.44200000004</v>
      </c>
      <c r="W91" s="58">
        <f t="shared" si="57"/>
        <v>354467.61100000003</v>
      </c>
      <c r="X91" s="58">
        <f t="shared" si="57"/>
        <v>309091.20680000004</v>
      </c>
      <c r="Y91" s="58">
        <f t="shared" si="57"/>
        <v>290588.70419999992</v>
      </c>
      <c r="AA91" s="27">
        <v>1</v>
      </c>
      <c r="AB91" s="28">
        <f t="shared" si="53"/>
        <v>295327.26639999996</v>
      </c>
      <c r="AC91" s="28">
        <f t="shared" si="54"/>
        <v>2139836.4029399995</v>
      </c>
      <c r="AD91" s="29">
        <f t="shared" si="55"/>
        <v>0.86198605370287251</v>
      </c>
      <c r="AE91" s="30" t="s">
        <v>62</v>
      </c>
    </row>
    <row r="92" spans="1:36" ht="15.75" customHeight="1" x14ac:dyDescent="0.2">
      <c r="B92" s="10">
        <v>1</v>
      </c>
      <c r="C92" s="57">
        <f t="shared" si="56"/>
        <v>818910.63400000008</v>
      </c>
      <c r="D92" s="57">
        <f t="shared" si="56"/>
        <v>1278275.4892</v>
      </c>
      <c r="E92" s="57">
        <f t="shared" si="56"/>
        <v>868454.21799999988</v>
      </c>
      <c r="F92" s="57">
        <f t="shared" si="56"/>
        <v>536981.70199999982</v>
      </c>
      <c r="G92" s="57">
        <f t="shared" si="56"/>
        <v>345039.26159999997</v>
      </c>
      <c r="H92" s="57">
        <f t="shared" si="56"/>
        <v>229610.48209999996</v>
      </c>
      <c r="I92" s="57">
        <f t="shared" si="56"/>
        <v>187078.67327999999</v>
      </c>
      <c r="K92" s="27">
        <v>2</v>
      </c>
      <c r="L92" s="28">
        <f t="shared" si="50"/>
        <v>463414.41710000008</v>
      </c>
      <c r="M92" s="28">
        <f t="shared" si="51"/>
        <v>1952492.26673</v>
      </c>
      <c r="N92" s="29">
        <f t="shared" si="52"/>
        <v>0.76265492826964265</v>
      </c>
      <c r="O92" s="30" t="s">
        <v>63</v>
      </c>
      <c r="R92" s="10">
        <v>1</v>
      </c>
      <c r="S92" s="58">
        <f t="shared" si="57"/>
        <v>622807.86444999999</v>
      </c>
      <c r="T92" s="58">
        <f t="shared" si="57"/>
        <v>1147398.4392000001</v>
      </c>
      <c r="U92" s="58">
        <f t="shared" si="57"/>
        <v>959343.77400000021</v>
      </c>
      <c r="V92" s="58">
        <f t="shared" si="57"/>
        <v>655321.75000000023</v>
      </c>
      <c r="W92" s="58">
        <f t="shared" si="57"/>
        <v>444132.125</v>
      </c>
      <c r="X92" s="58">
        <f t="shared" si="57"/>
        <v>344142.53899999999</v>
      </c>
      <c r="Y92" s="58">
        <f t="shared" si="57"/>
        <v>295327.26639999996</v>
      </c>
      <c r="AA92" s="27">
        <v>2</v>
      </c>
      <c r="AB92" s="28">
        <f t="shared" si="53"/>
        <v>682961.1213</v>
      </c>
      <c r="AC92" s="28">
        <f t="shared" si="54"/>
        <v>1844509.1365399999</v>
      </c>
      <c r="AD92" s="29">
        <f t="shared" si="55"/>
        <v>0.62973286075387824</v>
      </c>
      <c r="AE92" s="30" t="s">
        <v>63</v>
      </c>
    </row>
    <row r="93" spans="1:36" ht="15.75" customHeight="1" x14ac:dyDescent="0.2">
      <c r="B93" s="10">
        <v>2</v>
      </c>
      <c r="C93" s="57">
        <f t="shared" si="56"/>
        <v>201877.11479100003</v>
      </c>
      <c r="D93" s="57">
        <f t="shared" si="56"/>
        <v>789601.59389999998</v>
      </c>
      <c r="E93" s="57">
        <f t="shared" si="56"/>
        <v>962881.42689999996</v>
      </c>
      <c r="F93" s="57">
        <f t="shared" si="56"/>
        <v>953351.69700000004</v>
      </c>
      <c r="G93" s="57">
        <f t="shared" si="56"/>
        <v>815299.3382</v>
      </c>
      <c r="H93" s="57">
        <f t="shared" si="56"/>
        <v>605772.77779999992</v>
      </c>
      <c r="I93" s="57">
        <f t="shared" si="56"/>
        <v>463414.41710000008</v>
      </c>
      <c r="K93" s="27">
        <v>3</v>
      </c>
      <c r="L93" s="28">
        <f t="shared" si="50"/>
        <v>490456.06204999995</v>
      </c>
      <c r="M93" s="28">
        <f t="shared" si="51"/>
        <v>1489077.8496300001</v>
      </c>
      <c r="N93" s="29">
        <f t="shared" si="52"/>
        <v>0.67063101356865484</v>
      </c>
      <c r="O93" s="32" t="s">
        <v>64</v>
      </c>
      <c r="R93" s="10">
        <v>2</v>
      </c>
      <c r="S93" s="58">
        <f t="shared" si="57"/>
        <v>107475.55739999999</v>
      </c>
      <c r="T93" s="58">
        <f t="shared" si="57"/>
        <v>540819.80131000001</v>
      </c>
      <c r="U93" s="58">
        <f t="shared" si="57"/>
        <v>802796.02749999985</v>
      </c>
      <c r="V93" s="58">
        <f t="shared" si="57"/>
        <v>853477.4580000001</v>
      </c>
      <c r="W93" s="58">
        <f t="shared" si="57"/>
        <v>790699.93000000017</v>
      </c>
      <c r="X93" s="58">
        <f t="shared" si="57"/>
        <v>734573.15199999977</v>
      </c>
      <c r="Y93" s="58">
        <f t="shared" si="57"/>
        <v>682961.1213</v>
      </c>
      <c r="AA93" s="27">
        <v>3</v>
      </c>
      <c r="AB93" s="28">
        <f t="shared" si="53"/>
        <v>528864.43429999985</v>
      </c>
      <c r="AC93" s="28">
        <f t="shared" si="54"/>
        <v>1161548.0152399999</v>
      </c>
      <c r="AD93" s="29">
        <f t="shared" si="55"/>
        <v>0.54468999355939196</v>
      </c>
      <c r="AE93" s="32" t="s">
        <v>64</v>
      </c>
    </row>
    <row r="94" spans="1:36" ht="15.75" customHeight="1" x14ac:dyDescent="0.2">
      <c r="B94" s="10">
        <v>3</v>
      </c>
      <c r="C94" s="57">
        <f t="shared" si="56"/>
        <v>40081.243699999999</v>
      </c>
      <c r="D94" s="57">
        <f t="shared" si="56"/>
        <v>338169.15828099998</v>
      </c>
      <c r="E94" s="57">
        <f t="shared" si="56"/>
        <v>556852.15510000009</v>
      </c>
      <c r="F94" s="57">
        <f t="shared" si="56"/>
        <v>643224.94790000003</v>
      </c>
      <c r="G94" s="57">
        <f t="shared" si="56"/>
        <v>646527.10320000001</v>
      </c>
      <c r="H94" s="57">
        <f t="shared" si="56"/>
        <v>570019.86116000009</v>
      </c>
      <c r="I94" s="57">
        <f t="shared" si="56"/>
        <v>490456.06204999995</v>
      </c>
      <c r="K94" s="27" t="s">
        <v>64</v>
      </c>
      <c r="L94" s="28">
        <f t="shared" si="50"/>
        <v>998621.78758</v>
      </c>
      <c r="M94" s="28">
        <f t="shared" si="51"/>
        <v>998621.78758</v>
      </c>
      <c r="N94" s="33" t="s">
        <v>65</v>
      </c>
      <c r="O94" s="32"/>
      <c r="R94" s="10">
        <v>3</v>
      </c>
      <c r="S94" s="58">
        <f t="shared" si="57"/>
        <v>15483.770839999999</v>
      </c>
      <c r="T94" s="58">
        <f t="shared" si="57"/>
        <v>182560.05599999998</v>
      </c>
      <c r="U94" s="58">
        <f t="shared" si="57"/>
        <v>398112.31845000002</v>
      </c>
      <c r="V94" s="58">
        <f t="shared" si="57"/>
        <v>499485.53960000002</v>
      </c>
      <c r="W94" s="58">
        <f t="shared" si="57"/>
        <v>503835.40529999998</v>
      </c>
      <c r="X94" s="58">
        <f t="shared" si="57"/>
        <v>516560.11860000005</v>
      </c>
      <c r="Y94" s="58">
        <f t="shared" si="57"/>
        <v>528864.43429999985</v>
      </c>
      <c r="AA94" s="27" t="s">
        <v>64</v>
      </c>
      <c r="AB94" s="28">
        <f t="shared" si="53"/>
        <v>632683.58094000001</v>
      </c>
      <c r="AC94" s="28">
        <f t="shared" si="54"/>
        <v>632683.58094000001</v>
      </c>
      <c r="AD94" s="33" t="s">
        <v>65</v>
      </c>
      <c r="AE94" s="32"/>
    </row>
    <row r="95" spans="1:36" ht="15.75" customHeight="1" x14ac:dyDescent="0.2">
      <c r="B95" s="10" t="s">
        <v>64</v>
      </c>
      <c r="C95" s="57">
        <f t="shared" si="56"/>
        <v>10897.46171</v>
      </c>
      <c r="D95" s="57">
        <f t="shared" si="56"/>
        <v>166257.14999999997</v>
      </c>
      <c r="E95" s="57">
        <f t="shared" si="56"/>
        <v>428581.70500000007</v>
      </c>
      <c r="F95" s="57">
        <f t="shared" si="56"/>
        <v>649745.45590000018</v>
      </c>
      <c r="G95" s="57">
        <f t="shared" si="56"/>
        <v>810478.96456999984</v>
      </c>
      <c r="H95" s="57">
        <f t="shared" si="56"/>
        <v>920424.88029999996</v>
      </c>
      <c r="I95" s="57">
        <f t="shared" si="56"/>
        <v>998621.78758</v>
      </c>
      <c r="R95" s="10" t="s">
        <v>64</v>
      </c>
      <c r="S95" s="58">
        <f t="shared" si="57"/>
        <v>3321.8643830000001</v>
      </c>
      <c r="T95" s="58">
        <f t="shared" si="57"/>
        <v>64009.544300000009</v>
      </c>
      <c r="U95" s="58">
        <f t="shared" si="57"/>
        <v>236204.64600000004</v>
      </c>
      <c r="V95" s="58">
        <f t="shared" si="57"/>
        <v>376673.05285000004</v>
      </c>
      <c r="W95" s="58">
        <f t="shared" si="57"/>
        <v>444849.02660999994</v>
      </c>
      <c r="X95" s="58">
        <f t="shared" si="57"/>
        <v>530304.37219999998</v>
      </c>
      <c r="Y95" s="58">
        <f t="shared" si="57"/>
        <v>632683.58094000001</v>
      </c>
    </row>
    <row r="96" spans="1:36" ht="15.75" customHeight="1" x14ac:dyDescent="0.2"/>
    <row r="97" spans="10:12" ht="15.75" customHeight="1" x14ac:dyDescent="0.2"/>
    <row r="98" spans="10:12" ht="15.75" customHeight="1" x14ac:dyDescent="0.2">
      <c r="K98" s="1">
        <v>2000</v>
      </c>
      <c r="L98" s="1">
        <v>2010</v>
      </c>
    </row>
    <row r="99" spans="10:12" ht="15.75" customHeight="1" x14ac:dyDescent="0.2">
      <c r="J99" s="1" t="s">
        <v>81</v>
      </c>
      <c r="K99" s="60">
        <f>P78</f>
        <v>2.5570515810634165</v>
      </c>
      <c r="L99" s="60">
        <f>AF78</f>
        <v>2.1443669204412998</v>
      </c>
    </row>
    <row r="100" spans="10:12" ht="15.75" customHeight="1" x14ac:dyDescent="0.2">
      <c r="J100" s="1" t="s">
        <v>82</v>
      </c>
      <c r="K100" s="60">
        <f>P90</f>
        <v>2.8244400500763178</v>
      </c>
      <c r="L100" s="60">
        <f>AF90</f>
        <v>2.3775993420591073</v>
      </c>
    </row>
    <row r="101" spans="10:12" ht="15.75" customHeight="1" x14ac:dyDescent="0.2">
      <c r="J101" s="1" t="s">
        <v>97</v>
      </c>
      <c r="K101" s="60">
        <f>P5</f>
        <v>2.2518033577538299</v>
      </c>
      <c r="L101" s="60">
        <f>AF5</f>
        <v>1.8526501352989366</v>
      </c>
    </row>
    <row r="102" spans="10:12" ht="15.75" customHeight="1" x14ac:dyDescent="0.2"/>
    <row r="103" spans="10:12" ht="15.75" customHeight="1" x14ac:dyDescent="0.2"/>
    <row r="104" spans="10:12" ht="15.75" customHeight="1" x14ac:dyDescent="0.2"/>
    <row r="105" spans="10:12" ht="15.75" customHeight="1" x14ac:dyDescent="0.2"/>
    <row r="106" spans="10:12" ht="15.75" customHeight="1" x14ac:dyDescent="0.2"/>
    <row r="107" spans="10:12" ht="15.75" customHeight="1" x14ac:dyDescent="0.2"/>
    <row r="108" spans="10:12" ht="15.75" customHeight="1" x14ac:dyDescent="0.2"/>
    <row r="109" spans="10:12" ht="15.75" customHeight="1" x14ac:dyDescent="0.2"/>
    <row r="110" spans="10:12" ht="15.75" customHeight="1" x14ac:dyDescent="0.2"/>
    <row r="111" spans="10:12" ht="15.75" customHeight="1" x14ac:dyDescent="0.2"/>
    <row r="112" spans="10: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8">
    <mergeCell ref="K65:O65"/>
    <mergeCell ref="AA65:AE65"/>
    <mergeCell ref="K76:O76"/>
    <mergeCell ref="AA76:AE76"/>
    <mergeCell ref="K88:O88"/>
    <mergeCell ref="AA88:AE88"/>
    <mergeCell ref="K33:O33"/>
    <mergeCell ref="AA33:AE33"/>
    <mergeCell ref="K43:O43"/>
    <mergeCell ref="AA43:AE43"/>
    <mergeCell ref="K53:O53"/>
    <mergeCell ref="AA53:AE53"/>
    <mergeCell ref="K3:O3"/>
    <mergeCell ref="AA3:AE3"/>
    <mergeCell ref="K13:O13"/>
    <mergeCell ref="AA13:AE13"/>
    <mergeCell ref="K23:O23"/>
    <mergeCell ref="AA23:AE23"/>
  </mergeCells>
  <pageMargins left="0.511811024" right="0.511811024" top="0.78740157499999996" bottom="0.78740157499999996" header="0" footer="0"/>
  <pageSetup orientation="landscape"/>
  <headerFooter>
    <oddFooter>&amp;L_x000D_&amp;1#&amp;"Calibri"&amp;10&amp;K000000 Classificação - Restrito | Classification - Restricted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FFDAB-2030-B446-ABA9-3B5B7C9A1378}">
  <dimension ref="A1:AJ33"/>
  <sheetViews>
    <sheetView topLeftCell="A15" zoomScale="125" workbookViewId="0">
      <selection activeCell="D26" sqref="D26:D33"/>
    </sheetView>
  </sheetViews>
  <sheetFormatPr baseColWidth="10" defaultRowHeight="16" x14ac:dyDescent="0.2"/>
  <cols>
    <col min="2" max="2" width="11" bestFit="1" customWidth="1"/>
    <col min="3" max="3" width="14" bestFit="1" customWidth="1"/>
    <col min="4" max="4" width="14.1640625" bestFit="1" customWidth="1"/>
  </cols>
  <sheetData>
    <row r="1" spans="1:36" s="73" customFormat="1" ht="15.75" customHeight="1" x14ac:dyDescent="0.2">
      <c r="A1" s="114" t="s">
        <v>81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</row>
    <row r="2" spans="1:36" s="1" customFormat="1" ht="15.75" customHeight="1" x14ac:dyDescent="0.2">
      <c r="A2" s="38" t="s">
        <v>42</v>
      </c>
      <c r="B2" s="38" t="s">
        <v>200</v>
      </c>
      <c r="C2" s="38" t="s">
        <v>44</v>
      </c>
      <c r="D2" s="38" t="s">
        <v>45</v>
      </c>
      <c r="E2" s="38" t="s">
        <v>84</v>
      </c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</row>
    <row r="3" spans="1:36" s="1" customFormat="1" ht="15.75" customHeight="1" x14ac:dyDescent="0.2">
      <c r="A3" s="38" t="s">
        <v>201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</row>
    <row r="4" spans="1:36" s="1" customFormat="1" ht="15.75" customHeight="1" x14ac:dyDescent="0.2">
      <c r="B4" s="38" t="s">
        <v>202</v>
      </c>
      <c r="C4" s="38" t="s">
        <v>203</v>
      </c>
      <c r="D4" s="38" t="s">
        <v>188</v>
      </c>
      <c r="E4" s="38"/>
      <c r="F4" s="38"/>
      <c r="G4" s="54"/>
      <c r="H4" s="54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</row>
    <row r="5" spans="1:36" s="1" customFormat="1" ht="15.75" customHeight="1" x14ac:dyDescent="0.2">
      <c r="A5" s="38"/>
      <c r="B5" s="38">
        <v>25636792</v>
      </c>
      <c r="C5" s="38">
        <v>21326033</v>
      </c>
      <c r="D5" s="38">
        <f>SUM(B5:C5)</f>
        <v>46962825</v>
      </c>
      <c r="E5" s="38"/>
      <c r="F5" s="38"/>
      <c r="G5" s="54"/>
      <c r="H5" s="54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</row>
    <row r="6" spans="1:36" s="1" customFormat="1" ht="15.75" customHeight="1" x14ac:dyDescent="0.2">
      <c r="A6" s="38"/>
      <c r="B6" s="111">
        <f>B5/$D$5</f>
        <v>0.54589543963762832</v>
      </c>
      <c r="C6" s="111">
        <f t="shared" ref="C6:D6" si="0">C5/$D$5</f>
        <v>0.45410456036237173</v>
      </c>
      <c r="D6" s="111">
        <f t="shared" si="0"/>
        <v>1</v>
      </c>
      <c r="E6" s="38"/>
      <c r="F6" s="38"/>
      <c r="G6" s="54"/>
      <c r="H6" s="54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</row>
    <row r="7" spans="1:36" s="1" customFormat="1" ht="15.75" customHeight="1" x14ac:dyDescent="0.2">
      <c r="A7" s="38"/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</row>
    <row r="8" spans="1:36" s="1" customFormat="1" ht="15.75" customHeight="1" x14ac:dyDescent="0.2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</row>
    <row r="9" spans="1:36" s="1" customFormat="1" ht="15.75" customHeight="1" x14ac:dyDescent="0.2">
      <c r="A9" s="38" t="s">
        <v>42</v>
      </c>
      <c r="B9" s="38" t="s">
        <v>200</v>
      </c>
      <c r="C9" s="38" t="s">
        <v>44</v>
      </c>
      <c r="D9" s="38" t="s">
        <v>45</v>
      </c>
      <c r="E9" s="38"/>
      <c r="F9" s="38"/>
      <c r="G9" s="49"/>
      <c r="H9" s="49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</row>
    <row r="10" spans="1:36" s="1" customFormat="1" ht="15.75" customHeight="1" x14ac:dyDescent="0.2">
      <c r="A10" s="38" t="s">
        <v>201</v>
      </c>
      <c r="B10" s="38"/>
      <c r="C10" s="38"/>
      <c r="D10" s="38"/>
      <c r="E10" s="38"/>
      <c r="F10" s="38"/>
      <c r="G10" s="49"/>
      <c r="H10" s="49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</row>
    <row r="11" spans="1:36" s="1" customFormat="1" ht="15.75" customHeight="1" x14ac:dyDescent="0.2">
      <c r="B11" s="38" t="s">
        <v>202</v>
      </c>
      <c r="C11" s="38" t="s">
        <v>203</v>
      </c>
      <c r="D11" s="38" t="s">
        <v>188</v>
      </c>
      <c r="E11" s="38"/>
      <c r="F11" s="38"/>
      <c r="G11" s="49"/>
      <c r="H11" s="49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</row>
    <row r="12" spans="1:36" s="1" customFormat="1" ht="15.75" customHeight="1" x14ac:dyDescent="0.2">
      <c r="A12" s="38"/>
      <c r="B12" s="38">
        <v>24075689</v>
      </c>
      <c r="C12" s="38">
        <v>29588816</v>
      </c>
      <c r="D12" s="38">
        <f>SUM(B12:C12)</f>
        <v>53664505</v>
      </c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</row>
    <row r="13" spans="1:36" s="1" customFormat="1" ht="15.75" customHeight="1" x14ac:dyDescent="0.2">
      <c r="A13" s="38"/>
      <c r="B13" s="111">
        <f>B12/$D$12</f>
        <v>0.44863339371154176</v>
      </c>
      <c r="C13" s="111">
        <f t="shared" ref="C13:D13" si="1">C12/$D$12</f>
        <v>0.55136660628845824</v>
      </c>
      <c r="D13" s="111">
        <f t="shared" si="1"/>
        <v>1</v>
      </c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</row>
    <row r="14" spans="1:36" s="1" customFormat="1" ht="15.75" customHeight="1" x14ac:dyDescent="0.2">
      <c r="A14" s="38"/>
      <c r="B14" s="38"/>
      <c r="C14" s="38"/>
      <c r="D14" s="38"/>
      <c r="E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</row>
    <row r="15" spans="1:36" s="1" customFormat="1" ht="15.75" customHeight="1" x14ac:dyDescent="0.2">
      <c r="A15" s="38"/>
      <c r="B15" s="38"/>
      <c r="C15" s="38">
        <v>2000</v>
      </c>
      <c r="D15" s="38">
        <v>2010</v>
      </c>
      <c r="E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</row>
    <row r="16" spans="1:36" s="1" customFormat="1" ht="15.75" customHeight="1" x14ac:dyDescent="0.2">
      <c r="A16" s="38"/>
      <c r="B16" s="38" t="s">
        <v>81</v>
      </c>
      <c r="C16" s="55">
        <f>C6</f>
        <v>0.45410456036237173</v>
      </c>
      <c r="D16" s="112">
        <f>C13</f>
        <v>0.55136660628845824</v>
      </c>
      <c r="E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</row>
    <row r="17" spans="1:36" s="1" customFormat="1" ht="15.75" customHeight="1" x14ac:dyDescent="0.2">
      <c r="A17" s="38"/>
      <c r="B17" s="38" t="s">
        <v>82</v>
      </c>
      <c r="C17" s="55">
        <f>B6</f>
        <v>0.54589543963762832</v>
      </c>
      <c r="D17" s="55">
        <f>B13</f>
        <v>0.44863339371154176</v>
      </c>
      <c r="E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</row>
    <row r="18" spans="1:36" s="1" customFormat="1" ht="15.75" customHeight="1" x14ac:dyDescent="0.2">
      <c r="A18" s="38"/>
      <c r="B18" s="38"/>
      <c r="C18" s="55"/>
      <c r="D18" s="55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</row>
    <row r="22" spans="1:36" s="67" customFormat="1" x14ac:dyDescent="0.2">
      <c r="A22" s="114" t="s">
        <v>256</v>
      </c>
    </row>
    <row r="24" spans="1:36" x14ac:dyDescent="0.2">
      <c r="A24" t="s">
        <v>42</v>
      </c>
      <c r="B24" t="s">
        <v>204</v>
      </c>
      <c r="C24" t="s">
        <v>44</v>
      </c>
      <c r="D24" t="s">
        <v>45</v>
      </c>
      <c r="E24" t="s">
        <v>205</v>
      </c>
      <c r="G24" t="s">
        <v>42</v>
      </c>
      <c r="H24" t="s">
        <v>211</v>
      </c>
      <c r="I24" t="s">
        <v>44</v>
      </c>
      <c r="J24" t="s">
        <v>45</v>
      </c>
      <c r="K24" t="s">
        <v>84</v>
      </c>
    </row>
    <row r="25" spans="1:36" x14ac:dyDescent="0.2">
      <c r="B25" t="s">
        <v>206</v>
      </c>
      <c r="C25" t="s">
        <v>1</v>
      </c>
      <c r="D25">
        <v>2000</v>
      </c>
      <c r="G25" t="s">
        <v>206</v>
      </c>
      <c r="I25">
        <v>2010</v>
      </c>
    </row>
    <row r="26" spans="1:36" x14ac:dyDescent="0.2">
      <c r="A26">
        <v>1</v>
      </c>
      <c r="B26" t="s">
        <v>207</v>
      </c>
      <c r="C26" s="61">
        <v>4512360.4400000004</v>
      </c>
      <c r="D26" s="68">
        <f>C26/SUM($C$26:$C$33)</f>
        <v>0.15250223113946992</v>
      </c>
      <c r="G26" t="s">
        <v>207</v>
      </c>
      <c r="H26" s="61">
        <v>3184432.6</v>
      </c>
      <c r="I26" s="68">
        <f>H26/SUM($H$26:$H$33)</f>
        <v>0.14932137328581441</v>
      </c>
    </row>
    <row r="27" spans="1:36" x14ac:dyDescent="0.2">
      <c r="A27">
        <v>2</v>
      </c>
      <c r="B27" t="s">
        <v>208</v>
      </c>
      <c r="C27" s="61">
        <v>404911.45</v>
      </c>
      <c r="D27" s="68">
        <f t="shared" ref="D27:D33" si="2">C27/SUM($C$26:$C$33)</f>
        <v>1.3684611493251614E-2</v>
      </c>
      <c r="G27" t="s">
        <v>208</v>
      </c>
      <c r="H27" s="61">
        <v>395220.64</v>
      </c>
      <c r="I27" s="68">
        <f t="shared" ref="I27:I33" si="3">H27/SUM($H$26:$H$33)</f>
        <v>1.8532308931801057E-2</v>
      </c>
    </row>
    <row r="28" spans="1:36" x14ac:dyDescent="0.2">
      <c r="A28">
        <v>3</v>
      </c>
      <c r="B28" t="s">
        <v>209</v>
      </c>
      <c r="C28" s="61">
        <v>14204782.58</v>
      </c>
      <c r="D28" s="68">
        <f t="shared" si="2"/>
        <v>0.48007269479143727</v>
      </c>
      <c r="G28" t="s">
        <v>209</v>
      </c>
      <c r="H28" s="61">
        <v>8484492.1300000008</v>
      </c>
      <c r="I28" s="68">
        <f t="shared" si="3"/>
        <v>0.39784670477380635</v>
      </c>
    </row>
    <row r="29" spans="1:36" x14ac:dyDescent="0.2">
      <c r="A29">
        <v>4</v>
      </c>
      <c r="B29" t="s">
        <v>210</v>
      </c>
      <c r="C29" s="61">
        <v>7053128.6699999999</v>
      </c>
      <c r="D29" s="68">
        <f t="shared" si="2"/>
        <v>0.23837144062205323</v>
      </c>
      <c r="G29" t="s">
        <v>210</v>
      </c>
      <c r="H29" s="61">
        <v>6192401.6399999997</v>
      </c>
      <c r="I29" s="68">
        <f t="shared" si="3"/>
        <v>0.29036818578673301</v>
      </c>
    </row>
    <row r="30" spans="1:36" x14ac:dyDescent="0.2">
      <c r="A30">
        <v>5</v>
      </c>
      <c r="B30" t="s">
        <v>88</v>
      </c>
      <c r="C30" s="61">
        <v>1942434.23</v>
      </c>
      <c r="D30" s="68">
        <f t="shared" si="2"/>
        <v>6.5647582425103934E-2</v>
      </c>
      <c r="G30" t="s">
        <v>88</v>
      </c>
      <c r="H30" s="61">
        <v>1669697.92</v>
      </c>
      <c r="I30" s="68">
        <f t="shared" si="3"/>
        <v>7.8293880795865439E-2</v>
      </c>
    </row>
    <row r="31" spans="1:36" x14ac:dyDescent="0.2">
      <c r="A31">
        <v>6</v>
      </c>
      <c r="B31" t="s">
        <v>91</v>
      </c>
      <c r="C31" s="61">
        <v>27670.06</v>
      </c>
      <c r="D31" s="68">
        <f t="shared" si="2"/>
        <v>9.3515266386011507E-4</v>
      </c>
      <c r="G31" t="s">
        <v>91</v>
      </c>
      <c r="H31" s="61">
        <v>18879.79</v>
      </c>
      <c r="I31" s="68">
        <f t="shared" si="3"/>
        <v>8.852930880521025E-4</v>
      </c>
    </row>
    <row r="32" spans="1:36" x14ac:dyDescent="0.2">
      <c r="A32">
        <v>7</v>
      </c>
      <c r="B32" t="s">
        <v>92</v>
      </c>
      <c r="C32" s="61">
        <v>872492.87</v>
      </c>
      <c r="D32" s="68">
        <f t="shared" si="2"/>
        <v>2.9487251982086668E-2</v>
      </c>
      <c r="G32" t="s">
        <v>92</v>
      </c>
      <c r="H32" s="61">
        <v>388807.33</v>
      </c>
      <c r="I32" s="68">
        <f t="shared" si="3"/>
        <v>1.8231582122099497E-2</v>
      </c>
    </row>
    <row r="33" spans="1:9" x14ac:dyDescent="0.2">
      <c r="A33">
        <v>8</v>
      </c>
      <c r="B33" t="s">
        <v>93</v>
      </c>
      <c r="C33" s="61">
        <v>571035.59</v>
      </c>
      <c r="D33" s="68">
        <f t="shared" si="2"/>
        <v>1.9299034882737241E-2</v>
      </c>
      <c r="G33" t="s">
        <v>93</v>
      </c>
      <c r="H33" s="61">
        <v>992101.39</v>
      </c>
      <c r="I33" s="68">
        <f t="shared" si="3"/>
        <v>4.6520671215828313E-2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69D76-5654-1046-A009-D92C81E7AAB2}">
  <dimension ref="A1:O156"/>
  <sheetViews>
    <sheetView workbookViewId="0">
      <selection activeCell="J32" sqref="J32"/>
    </sheetView>
  </sheetViews>
  <sheetFormatPr baseColWidth="10" defaultRowHeight="16" x14ac:dyDescent="0.2"/>
  <sheetData>
    <row r="1" spans="1:6" x14ac:dyDescent="0.2">
      <c r="A1" t="s">
        <v>42</v>
      </c>
      <c r="B1" t="s">
        <v>98</v>
      </c>
      <c r="C1" t="s">
        <v>47</v>
      </c>
      <c r="D1" t="s">
        <v>44</v>
      </c>
      <c r="E1" t="s">
        <v>45</v>
      </c>
      <c r="F1" t="s">
        <v>99</v>
      </c>
    </row>
    <row r="2" spans="1:6" x14ac:dyDescent="0.2">
      <c r="B2" t="s">
        <v>48</v>
      </c>
      <c r="C2" t="s">
        <v>1</v>
      </c>
    </row>
    <row r="3" spans="1:6" x14ac:dyDescent="0.2">
      <c r="A3">
        <v>1</v>
      </c>
      <c r="B3" t="s">
        <v>54</v>
      </c>
      <c r="C3" s="61">
        <v>45962.71</v>
      </c>
    </row>
    <row r="4" spans="1:6" x14ac:dyDescent="0.2">
      <c r="A4">
        <v>2</v>
      </c>
      <c r="B4" t="s">
        <v>55</v>
      </c>
      <c r="C4" s="61">
        <v>168925.72</v>
      </c>
    </row>
    <row r="5" spans="1:6" x14ac:dyDescent="0.2">
      <c r="A5">
        <v>3</v>
      </c>
      <c r="B5" t="s">
        <v>56</v>
      </c>
      <c r="C5" s="61">
        <v>241724.43</v>
      </c>
    </row>
    <row r="6" spans="1:6" x14ac:dyDescent="0.2">
      <c r="A6">
        <v>4</v>
      </c>
      <c r="B6" t="s">
        <v>57</v>
      </c>
      <c r="C6" s="61">
        <v>307254.86</v>
      </c>
    </row>
    <row r="7" spans="1:6" x14ac:dyDescent="0.2">
      <c r="A7">
        <v>5</v>
      </c>
      <c r="B7" t="s">
        <v>58</v>
      </c>
      <c r="C7" s="61">
        <v>342431.08</v>
      </c>
    </row>
    <row r="8" spans="1:6" x14ac:dyDescent="0.2">
      <c r="A8">
        <v>6</v>
      </c>
      <c r="B8" t="s">
        <v>59</v>
      </c>
      <c r="C8" s="61">
        <v>313926.99</v>
      </c>
    </row>
    <row r="9" spans="1:6" x14ac:dyDescent="0.2">
      <c r="A9">
        <v>7</v>
      </c>
      <c r="B9" t="s">
        <v>60</v>
      </c>
      <c r="C9" s="61">
        <v>249472.13</v>
      </c>
    </row>
    <row r="10" spans="1:6" x14ac:dyDescent="0.2">
      <c r="A10" t="s">
        <v>42</v>
      </c>
      <c r="B10" t="s">
        <v>100</v>
      </c>
      <c r="C10" t="s">
        <v>47</v>
      </c>
      <c r="D10" t="s">
        <v>44</v>
      </c>
      <c r="E10" t="s">
        <v>45</v>
      </c>
      <c r="F10" t="s">
        <v>101</v>
      </c>
    </row>
    <row r="11" spans="1:6" x14ac:dyDescent="0.2">
      <c r="B11" t="s">
        <v>102</v>
      </c>
    </row>
    <row r="12" spans="1:6" x14ac:dyDescent="0.2">
      <c r="A12" t="s">
        <v>48</v>
      </c>
      <c r="B12">
        <v>1</v>
      </c>
      <c r="D12" s="32" t="s">
        <v>73</v>
      </c>
      <c r="E12" s="43" t="s">
        <v>75</v>
      </c>
      <c r="F12" s="25" t="s">
        <v>103</v>
      </c>
    </row>
    <row r="13" spans="1:6" x14ac:dyDescent="0.2">
      <c r="B13" t="s">
        <v>54</v>
      </c>
      <c r="C13" s="61">
        <v>3898.1179999999999</v>
      </c>
      <c r="D13" s="63">
        <f>C13/C3</f>
        <v>8.4810447425750141E-2</v>
      </c>
      <c r="E13" s="47">
        <v>17.5</v>
      </c>
      <c r="F13" s="48">
        <f t="shared" ref="F13:F19" si="0">E13*D13</f>
        <v>1.4841828299506274</v>
      </c>
    </row>
    <row r="14" spans="1:6" x14ac:dyDescent="0.2">
      <c r="B14" t="s">
        <v>55</v>
      </c>
      <c r="C14" s="61">
        <v>37640.275000000001</v>
      </c>
      <c r="D14" s="63">
        <f t="shared" ref="D14:D19" si="1">C14/C4</f>
        <v>0.22282145667338285</v>
      </c>
      <c r="E14" s="47">
        <v>22.5</v>
      </c>
      <c r="F14" s="48">
        <f t="shared" si="0"/>
        <v>5.0134827751511137</v>
      </c>
    </row>
    <row r="15" spans="1:6" x14ac:dyDescent="0.2">
      <c r="B15" t="s">
        <v>56</v>
      </c>
      <c r="C15" s="61">
        <v>65793.539000000004</v>
      </c>
      <c r="D15" s="63">
        <f t="shared" si="1"/>
        <v>0.27218406927260108</v>
      </c>
      <c r="E15" s="47">
        <v>27.5</v>
      </c>
      <c r="F15" s="48">
        <f t="shared" si="0"/>
        <v>7.4850619049965301</v>
      </c>
    </row>
    <row r="16" spans="1:6" x14ac:dyDescent="0.2">
      <c r="B16" t="s">
        <v>57</v>
      </c>
      <c r="C16" s="61">
        <v>76978.841</v>
      </c>
      <c r="D16" s="63">
        <f t="shared" si="1"/>
        <v>0.25053742355775921</v>
      </c>
      <c r="E16" s="47">
        <v>32.5</v>
      </c>
      <c r="F16" s="48">
        <f t="shared" si="0"/>
        <v>8.1424662656271742</v>
      </c>
    </row>
    <row r="17" spans="1:11" x14ac:dyDescent="0.2">
      <c r="B17" t="s">
        <v>58</v>
      </c>
      <c r="C17" s="61">
        <v>66682.115999999995</v>
      </c>
      <c r="D17" s="63">
        <f t="shared" si="1"/>
        <v>0.1947314945827931</v>
      </c>
      <c r="E17" s="47">
        <v>37.5</v>
      </c>
      <c r="F17" s="48">
        <f t="shared" si="0"/>
        <v>7.3024310468547409</v>
      </c>
    </row>
    <row r="18" spans="1:11" x14ac:dyDescent="0.2">
      <c r="B18" t="s">
        <v>59</v>
      </c>
      <c r="C18" s="61">
        <v>49192.591999999997</v>
      </c>
      <c r="D18" s="63">
        <f t="shared" si="1"/>
        <v>0.15670074115003618</v>
      </c>
      <c r="E18" s="47">
        <v>42.5</v>
      </c>
      <c r="F18" s="48">
        <f t="shared" si="0"/>
        <v>6.659781498876538</v>
      </c>
    </row>
    <row r="19" spans="1:11" x14ac:dyDescent="0.2">
      <c r="B19" t="s">
        <v>60</v>
      </c>
      <c r="C19" s="61">
        <v>32058.06</v>
      </c>
      <c r="D19" s="63">
        <f t="shared" si="1"/>
        <v>0.12850357272373472</v>
      </c>
      <c r="E19" s="47">
        <v>47.5</v>
      </c>
      <c r="F19" s="48">
        <f t="shared" si="0"/>
        <v>6.1039197043773994</v>
      </c>
    </row>
    <row r="20" spans="1:11" x14ac:dyDescent="0.2">
      <c r="F20" s="48">
        <f>SUM(F13:F19)/SUM(D13:D19)</f>
        <v>32.200010388853869</v>
      </c>
    </row>
    <row r="22" spans="1:11" s="64" customFormat="1" x14ac:dyDescent="0.2">
      <c r="A22" s="64" t="s">
        <v>118</v>
      </c>
    </row>
    <row r="23" spans="1:11" x14ac:dyDescent="0.2">
      <c r="A23" t="s">
        <v>104</v>
      </c>
      <c r="B23" t="s">
        <v>105</v>
      </c>
      <c r="C23">
        <v>1101</v>
      </c>
      <c r="D23" t="s">
        <v>65</v>
      </c>
      <c r="E23" t="s">
        <v>106</v>
      </c>
      <c r="F23" t="s">
        <v>107</v>
      </c>
      <c r="G23" t="s">
        <v>108</v>
      </c>
      <c r="H23" t="s">
        <v>109</v>
      </c>
      <c r="I23" t="s">
        <v>110</v>
      </c>
      <c r="J23" t="s">
        <v>111</v>
      </c>
      <c r="K23" t="s">
        <v>104</v>
      </c>
    </row>
    <row r="24" spans="1:11" x14ac:dyDescent="0.2">
      <c r="B24" t="s">
        <v>48</v>
      </c>
      <c r="C24" t="s">
        <v>112</v>
      </c>
      <c r="D24" t="s">
        <v>113</v>
      </c>
      <c r="E24" t="s">
        <v>73</v>
      </c>
      <c r="F24" t="s">
        <v>75</v>
      </c>
    </row>
    <row r="25" spans="1:11" x14ac:dyDescent="0.2">
      <c r="A25">
        <v>1</v>
      </c>
      <c r="B25" t="s">
        <v>54</v>
      </c>
      <c r="C25">
        <v>0</v>
      </c>
      <c r="D25" s="61">
        <v>83.552250000000001</v>
      </c>
      <c r="E25" s="64">
        <v>0</v>
      </c>
      <c r="F25">
        <v>17.5</v>
      </c>
    </row>
    <row r="26" spans="1:11" x14ac:dyDescent="0.2">
      <c r="A26">
        <v>2</v>
      </c>
      <c r="B26" t="s">
        <v>55</v>
      </c>
      <c r="C26" s="61">
        <v>110.45183</v>
      </c>
      <c r="D26" s="61">
        <v>413.70224999999999</v>
      </c>
      <c r="E26" s="72">
        <v>0.26698389</v>
      </c>
      <c r="F26">
        <v>22.5</v>
      </c>
    </row>
    <row r="27" spans="1:11" x14ac:dyDescent="0.2">
      <c r="A27">
        <v>3</v>
      </c>
      <c r="B27" t="s">
        <v>56</v>
      </c>
      <c r="C27" s="61">
        <v>284.69542999999999</v>
      </c>
      <c r="D27" s="61">
        <v>809.20591999999999</v>
      </c>
      <c r="E27" s="72">
        <v>0.35182075000000002</v>
      </c>
      <c r="F27">
        <v>27.5</v>
      </c>
    </row>
    <row r="28" spans="1:11" x14ac:dyDescent="0.2">
      <c r="A28">
        <v>4</v>
      </c>
      <c r="B28" t="s">
        <v>57</v>
      </c>
      <c r="C28" s="61">
        <v>335.84919000000002</v>
      </c>
      <c r="D28" s="61">
        <v>1244.3891699999999</v>
      </c>
      <c r="E28" s="72">
        <v>0.26989079999999999</v>
      </c>
      <c r="F28">
        <v>32.5</v>
      </c>
    </row>
    <row r="29" spans="1:11" x14ac:dyDescent="0.2">
      <c r="A29">
        <v>5</v>
      </c>
      <c r="B29" t="s">
        <v>58</v>
      </c>
      <c r="C29" s="61">
        <v>258.61156</v>
      </c>
      <c r="D29" s="61">
        <v>1331.69343</v>
      </c>
      <c r="E29" s="72">
        <v>0.19419752000000001</v>
      </c>
      <c r="F29">
        <v>37.5</v>
      </c>
    </row>
    <row r="30" spans="1:11" x14ac:dyDescent="0.2">
      <c r="A30">
        <v>6</v>
      </c>
      <c r="B30" t="s">
        <v>59</v>
      </c>
      <c r="C30" s="61">
        <v>131.16927999999999</v>
      </c>
      <c r="D30" s="61">
        <v>1212.6041600000001</v>
      </c>
      <c r="E30" s="72">
        <v>0.10817156</v>
      </c>
      <c r="F30">
        <v>42.5</v>
      </c>
    </row>
    <row r="31" spans="1:11" x14ac:dyDescent="0.2">
      <c r="A31">
        <v>7</v>
      </c>
      <c r="B31" t="s">
        <v>60</v>
      </c>
      <c r="C31" s="61">
        <v>57.03792</v>
      </c>
      <c r="D31" s="61">
        <v>700.79642000000001</v>
      </c>
      <c r="E31" s="72">
        <v>8.1390149999999994E-2</v>
      </c>
      <c r="F31">
        <v>47.5</v>
      </c>
    </row>
    <row r="32" spans="1:11" x14ac:dyDescent="0.2">
      <c r="A32" t="s">
        <v>114</v>
      </c>
      <c r="B32" t="s">
        <v>107</v>
      </c>
      <c r="C32" t="s">
        <v>108</v>
      </c>
      <c r="D32" t="s">
        <v>109</v>
      </c>
      <c r="E32" t="s">
        <v>110</v>
      </c>
      <c r="F32" t="s">
        <v>111</v>
      </c>
      <c r="G32" t="s">
        <v>115</v>
      </c>
      <c r="H32">
        <v>1101</v>
      </c>
      <c r="I32" t="s">
        <v>116</v>
      </c>
      <c r="J32" s="64">
        <v>31.6</v>
      </c>
    </row>
    <row r="36" spans="1:6" x14ac:dyDescent="0.2">
      <c r="B36" t="s">
        <v>102</v>
      </c>
    </row>
    <row r="37" spans="1:6" x14ac:dyDescent="0.2">
      <c r="A37" t="s">
        <v>48</v>
      </c>
      <c r="C37">
        <v>1</v>
      </c>
    </row>
    <row r="38" spans="1:6" x14ac:dyDescent="0.2">
      <c r="B38" t="s">
        <v>54</v>
      </c>
      <c r="C38">
        <v>0</v>
      </c>
    </row>
    <row r="39" spans="1:6" x14ac:dyDescent="0.2">
      <c r="B39" t="s">
        <v>55</v>
      </c>
      <c r="C39" s="61">
        <v>110.45183400000001</v>
      </c>
    </row>
    <row r="40" spans="1:6" x14ac:dyDescent="0.2">
      <c r="B40" t="s">
        <v>56</v>
      </c>
      <c r="C40" s="61">
        <v>284.69543299999998</v>
      </c>
    </row>
    <row r="41" spans="1:6" x14ac:dyDescent="0.2">
      <c r="B41" t="s">
        <v>57</v>
      </c>
      <c r="C41" s="61">
        <v>335.84919200000002</v>
      </c>
    </row>
    <row r="42" spans="1:6" x14ac:dyDescent="0.2">
      <c r="B42" t="s">
        <v>58</v>
      </c>
      <c r="C42" s="61">
        <v>258.611558</v>
      </c>
    </row>
    <row r="43" spans="1:6" x14ac:dyDescent="0.2">
      <c r="B43" t="s">
        <v>59</v>
      </c>
      <c r="C43" s="61">
        <v>131.16928100000001</v>
      </c>
    </row>
    <row r="44" spans="1:6" x14ac:dyDescent="0.2">
      <c r="B44" t="s">
        <v>60</v>
      </c>
      <c r="C44" s="61">
        <v>57.037925000000001</v>
      </c>
    </row>
    <row r="47" spans="1:6" x14ac:dyDescent="0.2">
      <c r="B47" t="s">
        <v>117</v>
      </c>
    </row>
    <row r="48" spans="1:6" x14ac:dyDescent="0.2">
      <c r="A48" t="s">
        <v>48</v>
      </c>
      <c r="C48">
        <v>1101</v>
      </c>
      <c r="D48" s="32" t="s">
        <v>73</v>
      </c>
      <c r="E48" s="43" t="s">
        <v>75</v>
      </c>
      <c r="F48" s="25" t="s">
        <v>103</v>
      </c>
    </row>
    <row r="49" spans="1:7" x14ac:dyDescent="0.2">
      <c r="B49" t="s">
        <v>54</v>
      </c>
      <c r="C49" s="61">
        <v>83.552250000000001</v>
      </c>
      <c r="D49" s="72">
        <f>C38/C49</f>
        <v>0</v>
      </c>
      <c r="E49" s="47">
        <v>17.5</v>
      </c>
      <c r="F49" s="48">
        <f t="shared" ref="F49:F55" si="2">E49*D49</f>
        <v>0</v>
      </c>
    </row>
    <row r="50" spans="1:7" x14ac:dyDescent="0.2">
      <c r="B50" t="s">
        <v>55</v>
      </c>
      <c r="C50" s="61">
        <v>413.70224999999999</v>
      </c>
      <c r="D50" s="72">
        <f t="shared" ref="D50:D55" si="3">C39/C50</f>
        <v>0.26698388514928312</v>
      </c>
      <c r="E50" s="47">
        <v>22.5</v>
      </c>
      <c r="F50" s="48">
        <f t="shared" si="2"/>
        <v>6.0071374158588702</v>
      </c>
    </row>
    <row r="51" spans="1:7" x14ac:dyDescent="0.2">
      <c r="B51" t="s">
        <v>56</v>
      </c>
      <c r="C51" s="61">
        <v>809.20591999999999</v>
      </c>
      <c r="D51" s="72">
        <f t="shared" si="3"/>
        <v>0.35182074916110351</v>
      </c>
      <c r="E51" s="47">
        <v>27.5</v>
      </c>
      <c r="F51" s="48">
        <f t="shared" si="2"/>
        <v>9.6750706019303472</v>
      </c>
    </row>
    <row r="52" spans="1:7" x14ac:dyDescent="0.2">
      <c r="B52" t="s">
        <v>57</v>
      </c>
      <c r="C52" s="61">
        <v>1244.3891699999999</v>
      </c>
      <c r="D52" s="72">
        <f t="shared" si="3"/>
        <v>0.26989080273014593</v>
      </c>
      <c r="E52" s="47">
        <v>32.5</v>
      </c>
      <c r="F52" s="48">
        <f t="shared" si="2"/>
        <v>8.7714510887297426</v>
      </c>
    </row>
    <row r="53" spans="1:7" x14ac:dyDescent="0.2">
      <c r="B53" t="s">
        <v>58</v>
      </c>
      <c r="C53" s="61">
        <v>1331.69343</v>
      </c>
      <c r="D53" s="72">
        <f t="shared" si="3"/>
        <v>0.19419751736704144</v>
      </c>
      <c r="E53" s="47">
        <v>37.5</v>
      </c>
      <c r="F53" s="48">
        <f t="shared" si="2"/>
        <v>7.2824069012640535</v>
      </c>
    </row>
    <row r="54" spans="1:7" x14ac:dyDescent="0.2">
      <c r="B54" t="s">
        <v>59</v>
      </c>
      <c r="C54" s="61">
        <v>1212.6041600000001</v>
      </c>
      <c r="D54" s="72">
        <f t="shared" si="3"/>
        <v>0.10817155781487671</v>
      </c>
      <c r="E54" s="47">
        <v>42.5</v>
      </c>
      <c r="F54" s="48">
        <f t="shared" si="2"/>
        <v>4.59729120713226</v>
      </c>
    </row>
    <row r="55" spans="1:7" x14ac:dyDescent="0.2">
      <c r="B55" t="s">
        <v>60</v>
      </c>
      <c r="C55" s="61">
        <v>700.79642000000001</v>
      </c>
      <c r="D55" s="72">
        <f t="shared" si="3"/>
        <v>8.1390148939402399E-2</v>
      </c>
      <c r="E55" s="47">
        <v>47.5</v>
      </c>
      <c r="F55" s="48">
        <f t="shared" si="2"/>
        <v>3.8660320746216139</v>
      </c>
    </row>
    <row r="56" spans="1:7" x14ac:dyDescent="0.2">
      <c r="F56" s="65">
        <f>SUM(F49:F55)/SUM(D49:D55)</f>
        <v>31.592001284219926</v>
      </c>
      <c r="G56" t="s">
        <v>121</v>
      </c>
    </row>
    <row r="62" spans="1:7" x14ac:dyDescent="0.2">
      <c r="A62" t="s">
        <v>119</v>
      </c>
      <c r="B62" t="s">
        <v>105</v>
      </c>
      <c r="C62">
        <v>1101</v>
      </c>
      <c r="D62" t="s">
        <v>119</v>
      </c>
    </row>
    <row r="63" spans="1:7" x14ac:dyDescent="0.2">
      <c r="B63" t="s">
        <v>48</v>
      </c>
      <c r="C63" t="s">
        <v>120</v>
      </c>
      <c r="D63" t="s">
        <v>113</v>
      </c>
      <c r="E63" t="s">
        <v>73</v>
      </c>
      <c r="F63" t="s">
        <v>75</v>
      </c>
    </row>
    <row r="64" spans="1:7" x14ac:dyDescent="0.2">
      <c r="A64">
        <v>1</v>
      </c>
      <c r="B64" t="s">
        <v>55</v>
      </c>
      <c r="C64" s="61">
        <v>44.939599999999999</v>
      </c>
      <c r="D64" s="61">
        <v>413.7022</v>
      </c>
      <c r="E64">
        <v>0.108627879</v>
      </c>
      <c r="F64">
        <v>22.5</v>
      </c>
    </row>
    <row r="65" spans="1:7" x14ac:dyDescent="0.2">
      <c r="A65">
        <v>2</v>
      </c>
      <c r="B65" t="s">
        <v>56</v>
      </c>
      <c r="C65" s="61">
        <v>74.217529999999996</v>
      </c>
      <c r="D65" s="61">
        <v>809.20590000000004</v>
      </c>
      <c r="E65">
        <v>9.1716490999999997E-2</v>
      </c>
      <c r="F65">
        <v>27.5</v>
      </c>
    </row>
    <row r="66" spans="1:7" x14ac:dyDescent="0.2">
      <c r="A66">
        <v>3</v>
      </c>
      <c r="B66" t="s">
        <v>57</v>
      </c>
      <c r="C66" s="61">
        <v>76.342389999999995</v>
      </c>
      <c r="D66" s="61">
        <v>1244.3892000000001</v>
      </c>
      <c r="E66">
        <v>6.1349291E-2</v>
      </c>
      <c r="F66">
        <v>32.5</v>
      </c>
    </row>
    <row r="67" spans="1:7" x14ac:dyDescent="0.2">
      <c r="A67">
        <v>4</v>
      </c>
      <c r="B67" t="s">
        <v>58</v>
      </c>
      <c r="C67" s="61">
        <v>72.66986</v>
      </c>
      <c r="D67" s="61">
        <v>1331.6934000000001</v>
      </c>
      <c r="E67">
        <v>5.4569508000000003E-2</v>
      </c>
      <c r="F67">
        <v>37.5</v>
      </c>
    </row>
    <row r="68" spans="1:7" x14ac:dyDescent="0.2">
      <c r="A68">
        <v>5</v>
      </c>
      <c r="B68" t="s">
        <v>59</v>
      </c>
      <c r="C68" s="61">
        <v>12.03511</v>
      </c>
      <c r="D68" s="61">
        <v>1212.6042</v>
      </c>
      <c r="E68">
        <v>9.9250120000000004E-3</v>
      </c>
      <c r="F68">
        <v>42.5</v>
      </c>
    </row>
    <row r="71" spans="1:7" x14ac:dyDescent="0.2">
      <c r="B71" t="s">
        <v>117</v>
      </c>
    </row>
    <row r="72" spans="1:7" x14ac:dyDescent="0.2">
      <c r="A72" t="s">
        <v>48</v>
      </c>
      <c r="C72">
        <v>1101</v>
      </c>
      <c r="D72" s="32" t="s">
        <v>73</v>
      </c>
      <c r="E72" s="43" t="s">
        <v>75</v>
      </c>
      <c r="F72" s="25" t="s">
        <v>103</v>
      </c>
    </row>
    <row r="73" spans="1:7" x14ac:dyDescent="0.2">
      <c r="B73" t="s">
        <v>54</v>
      </c>
      <c r="C73">
        <v>0</v>
      </c>
      <c r="D73" s="63">
        <f>C73/C49</f>
        <v>0</v>
      </c>
      <c r="E73" s="47">
        <v>17.5</v>
      </c>
      <c r="F73" s="48">
        <f t="shared" ref="F73:F79" si="4">E73*D73</f>
        <v>0</v>
      </c>
    </row>
    <row r="74" spans="1:7" x14ac:dyDescent="0.2">
      <c r="B74" t="s">
        <v>55</v>
      </c>
      <c r="C74" s="61">
        <v>44.939597999999997</v>
      </c>
      <c r="D74" s="63">
        <f t="shared" ref="D74:D79" si="5">C74/C50</f>
        <v>0.1086278791087068</v>
      </c>
      <c r="E74" s="47">
        <v>22.5</v>
      </c>
      <c r="F74" s="48">
        <f t="shared" si="4"/>
        <v>2.4441272799459033</v>
      </c>
    </row>
    <row r="75" spans="1:7" x14ac:dyDescent="0.2">
      <c r="B75" t="s">
        <v>56</v>
      </c>
      <c r="C75" s="61">
        <v>74.217527000000004</v>
      </c>
      <c r="D75" s="63">
        <f t="shared" si="5"/>
        <v>9.1716490408275814E-2</v>
      </c>
      <c r="E75" s="47">
        <v>27.5</v>
      </c>
      <c r="F75" s="48">
        <f t="shared" si="4"/>
        <v>2.5222034862275851</v>
      </c>
    </row>
    <row r="76" spans="1:7" x14ac:dyDescent="0.2">
      <c r="B76" t="s">
        <v>57</v>
      </c>
      <c r="C76" s="61">
        <v>76.342393000000001</v>
      </c>
      <c r="D76" s="63">
        <f t="shared" si="5"/>
        <v>6.1349290752827752E-2</v>
      </c>
      <c r="E76" s="47">
        <v>32.5</v>
      </c>
      <c r="F76" s="48">
        <f t="shared" si="4"/>
        <v>1.993851949466902</v>
      </c>
    </row>
    <row r="77" spans="1:7" x14ac:dyDescent="0.2">
      <c r="B77" t="s">
        <v>58</v>
      </c>
      <c r="C77" s="61">
        <v>72.669855999999996</v>
      </c>
      <c r="D77" s="63">
        <f t="shared" si="5"/>
        <v>5.4569508539213857E-2</v>
      </c>
      <c r="E77" s="47">
        <v>37.5</v>
      </c>
      <c r="F77" s="48">
        <f t="shared" si="4"/>
        <v>2.0463565702205195</v>
      </c>
    </row>
    <row r="78" spans="1:7" x14ac:dyDescent="0.2">
      <c r="B78" t="s">
        <v>59</v>
      </c>
      <c r="C78" s="61">
        <v>12.035111000000001</v>
      </c>
      <c r="D78" s="63">
        <f t="shared" si="5"/>
        <v>9.9250121325659968E-3</v>
      </c>
      <c r="E78" s="47">
        <v>42.5</v>
      </c>
      <c r="F78" s="48">
        <f t="shared" si="4"/>
        <v>0.42181301563405488</v>
      </c>
    </row>
    <row r="79" spans="1:7" x14ac:dyDescent="0.2">
      <c r="B79" t="s">
        <v>60</v>
      </c>
      <c r="C79">
        <v>0</v>
      </c>
      <c r="D79" s="63">
        <f t="shared" si="5"/>
        <v>0</v>
      </c>
      <c r="E79" s="47">
        <v>47.5</v>
      </c>
      <c r="F79" s="48">
        <f t="shared" si="4"/>
        <v>0</v>
      </c>
    </row>
    <row r="80" spans="1:7" x14ac:dyDescent="0.2">
      <c r="D80" s="63"/>
      <c r="F80" s="65">
        <f>SUM(F73:F79)/SUM(D73:D79)</f>
        <v>28.904641100970103</v>
      </c>
      <c r="G80" t="s">
        <v>122</v>
      </c>
    </row>
    <row r="82" spans="1:8" s="64" customFormat="1" x14ac:dyDescent="0.2"/>
    <row r="83" spans="1:8" x14ac:dyDescent="0.2">
      <c r="B83" t="s">
        <v>123</v>
      </c>
    </row>
    <row r="84" spans="1:8" x14ac:dyDescent="0.2">
      <c r="A84" t="s">
        <v>48</v>
      </c>
      <c r="C84">
        <v>1101</v>
      </c>
      <c r="D84">
        <v>1102</v>
      </c>
      <c r="E84">
        <v>1201</v>
      </c>
      <c r="F84">
        <v>1202</v>
      </c>
      <c r="G84">
        <v>1301</v>
      </c>
      <c r="H84">
        <v>1302</v>
      </c>
    </row>
    <row r="85" spans="1:8" x14ac:dyDescent="0.2">
      <c r="B85" t="s">
        <v>54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</row>
    <row r="86" spans="1:8" x14ac:dyDescent="0.2">
      <c r="B86" t="s">
        <v>55</v>
      </c>
      <c r="C86">
        <v>32.581947</v>
      </c>
      <c r="D86">
        <v>84.150593999999998</v>
      </c>
      <c r="E86">
        <v>0</v>
      </c>
      <c r="F86">
        <v>20.550730000000001</v>
      </c>
      <c r="G86">
        <v>8.8168050000000004</v>
      </c>
      <c r="H86">
        <v>20.491879000000001</v>
      </c>
    </row>
    <row r="87" spans="1:8" x14ac:dyDescent="0.2">
      <c r="B87" t="s">
        <v>56</v>
      </c>
      <c r="C87">
        <v>174.37425999999999</v>
      </c>
      <c r="D87">
        <v>150.28630899999999</v>
      </c>
      <c r="E87">
        <v>20.19426</v>
      </c>
      <c r="F87">
        <v>17.800418000000001</v>
      </c>
      <c r="G87">
        <v>38.403970000000001</v>
      </c>
      <c r="H87">
        <v>37.708888000000002</v>
      </c>
    </row>
    <row r="88" spans="1:8" x14ac:dyDescent="0.2">
      <c r="B88" t="s">
        <v>57</v>
      </c>
      <c r="C88">
        <v>120.57211100000001</v>
      </c>
      <c r="D88">
        <v>197.74964700000001</v>
      </c>
      <c r="E88">
        <v>28.267068999999999</v>
      </c>
      <c r="F88">
        <v>40.326138999999998</v>
      </c>
      <c r="G88">
        <v>26.409127999999999</v>
      </c>
      <c r="H88">
        <v>43.085220999999997</v>
      </c>
    </row>
    <row r="89" spans="1:8" x14ac:dyDescent="0.2">
      <c r="B89" t="s">
        <v>58</v>
      </c>
      <c r="C89">
        <v>121.565693</v>
      </c>
      <c r="D89">
        <v>92.930998000000002</v>
      </c>
      <c r="E89">
        <v>8.4381540000000008</v>
      </c>
      <c r="F89">
        <v>34.329557000000001</v>
      </c>
      <c r="G89">
        <v>20.150295</v>
      </c>
      <c r="H89">
        <v>63.793993</v>
      </c>
    </row>
    <row r="90" spans="1:8" x14ac:dyDescent="0.2">
      <c r="B90" t="s">
        <v>59</v>
      </c>
      <c r="C90">
        <v>12.378316</v>
      </c>
      <c r="D90">
        <v>19.902374999999999</v>
      </c>
      <c r="E90">
        <v>12.880959000000001</v>
      </c>
      <c r="F90">
        <v>0</v>
      </c>
      <c r="G90">
        <v>0</v>
      </c>
      <c r="H90">
        <v>5.7709279999999996</v>
      </c>
    </row>
    <row r="91" spans="1:8" x14ac:dyDescent="0.2">
      <c r="B91" t="s">
        <v>60</v>
      </c>
      <c r="C91">
        <v>5.3718640000000004</v>
      </c>
      <c r="D91">
        <v>0</v>
      </c>
      <c r="E91">
        <v>0</v>
      </c>
      <c r="F91">
        <v>0</v>
      </c>
      <c r="G91">
        <v>0</v>
      </c>
      <c r="H91">
        <v>0</v>
      </c>
    </row>
    <row r="93" spans="1:8" x14ac:dyDescent="0.2">
      <c r="A93" t="s">
        <v>42</v>
      </c>
      <c r="B93" t="s">
        <v>124</v>
      </c>
      <c r="C93" t="s">
        <v>47</v>
      </c>
      <c r="D93" t="s">
        <v>44</v>
      </c>
      <c r="E93" t="s">
        <v>45</v>
      </c>
      <c r="F93" t="s">
        <v>46</v>
      </c>
    </row>
    <row r="94" spans="1:8" x14ac:dyDescent="0.2">
      <c r="B94" t="s">
        <v>123</v>
      </c>
    </row>
    <row r="95" spans="1:8" x14ac:dyDescent="0.2">
      <c r="A95" t="s">
        <v>48</v>
      </c>
      <c r="C95">
        <v>1101</v>
      </c>
      <c r="D95">
        <v>1102</v>
      </c>
      <c r="E95">
        <v>1201</v>
      </c>
      <c r="F95">
        <v>1202</v>
      </c>
      <c r="G95">
        <v>1301</v>
      </c>
      <c r="H95">
        <v>1302</v>
      </c>
    </row>
    <row r="96" spans="1:8" x14ac:dyDescent="0.2">
      <c r="B96" t="s">
        <v>54</v>
      </c>
      <c r="C96">
        <v>75.574382</v>
      </c>
      <c r="D96">
        <v>70.677014999999997</v>
      </c>
      <c r="E96">
        <v>15.381211</v>
      </c>
      <c r="F96">
        <v>23.315947999999999</v>
      </c>
      <c r="G96">
        <v>7.4816029999999998</v>
      </c>
      <c r="H96">
        <v>31.925384999999999</v>
      </c>
    </row>
    <row r="97" spans="2:15" x14ac:dyDescent="0.2">
      <c r="B97" t="s">
        <v>55</v>
      </c>
      <c r="C97">
        <v>680.05823099999998</v>
      </c>
      <c r="D97">
        <v>1000.8637670000001</v>
      </c>
      <c r="E97">
        <v>105.53706099999999</v>
      </c>
      <c r="F97">
        <v>264.082381</v>
      </c>
      <c r="G97">
        <v>36.407124000000003</v>
      </c>
      <c r="H97">
        <v>220.99095399999999</v>
      </c>
    </row>
    <row r="98" spans="2:15" x14ac:dyDescent="0.2">
      <c r="B98" t="s">
        <v>56</v>
      </c>
      <c r="C98">
        <v>1412.297114</v>
      </c>
      <c r="D98">
        <v>2038.129815</v>
      </c>
      <c r="E98">
        <v>183.66012799999999</v>
      </c>
      <c r="F98">
        <v>645.53058499999997</v>
      </c>
      <c r="G98">
        <v>225.32040599999999</v>
      </c>
      <c r="H98">
        <v>364.400373</v>
      </c>
    </row>
    <row r="99" spans="2:15" x14ac:dyDescent="0.2">
      <c r="B99" t="s">
        <v>57</v>
      </c>
      <c r="C99">
        <v>2045.0665980000001</v>
      </c>
      <c r="D99">
        <v>2950.1783890000002</v>
      </c>
      <c r="E99">
        <v>244.022919</v>
      </c>
      <c r="F99">
        <v>766.62831500000004</v>
      </c>
      <c r="G99">
        <v>228.46392399999999</v>
      </c>
      <c r="H99">
        <v>602.965867</v>
      </c>
    </row>
    <row r="100" spans="2:15" x14ac:dyDescent="0.2">
      <c r="B100" t="s">
        <v>58</v>
      </c>
      <c r="C100">
        <v>1736.9645909999999</v>
      </c>
      <c r="D100">
        <v>2766.1651740000002</v>
      </c>
      <c r="E100">
        <v>167.75063</v>
      </c>
      <c r="F100">
        <v>829.72688700000003</v>
      </c>
      <c r="G100">
        <v>207.08997400000001</v>
      </c>
      <c r="H100">
        <v>506.833665</v>
      </c>
    </row>
    <row r="101" spans="2:15" x14ac:dyDescent="0.2">
      <c r="B101" t="s">
        <v>59</v>
      </c>
      <c r="C101">
        <v>1914.0249180000001</v>
      </c>
      <c r="D101">
        <v>2441.9319420000002</v>
      </c>
      <c r="E101">
        <v>189.201053</v>
      </c>
      <c r="F101">
        <v>909.85579800000005</v>
      </c>
      <c r="G101">
        <v>105.108644</v>
      </c>
      <c r="H101">
        <v>429.90452800000003</v>
      </c>
    </row>
    <row r="102" spans="2:15" x14ac:dyDescent="0.2">
      <c r="B102" t="s">
        <v>60</v>
      </c>
      <c r="C102">
        <v>1951.818569</v>
      </c>
      <c r="D102">
        <v>2313.4037530000001</v>
      </c>
      <c r="E102">
        <v>97.105214000000004</v>
      </c>
      <c r="F102">
        <v>572.34175300000004</v>
      </c>
      <c r="G102">
        <v>162.63095200000001</v>
      </c>
      <c r="H102">
        <v>315.69047599999999</v>
      </c>
    </row>
    <row r="103" spans="2:15" x14ac:dyDescent="0.2">
      <c r="J103">
        <f>C95</f>
        <v>1101</v>
      </c>
      <c r="K103">
        <f t="shared" ref="K103:O103" si="6">D95</f>
        <v>1102</v>
      </c>
      <c r="L103">
        <f t="shared" si="6"/>
        <v>1201</v>
      </c>
      <c r="M103">
        <f t="shared" si="6"/>
        <v>1202</v>
      </c>
      <c r="N103">
        <f t="shared" si="6"/>
        <v>1301</v>
      </c>
      <c r="O103">
        <f t="shared" si="6"/>
        <v>1302</v>
      </c>
    </row>
    <row r="104" spans="2:15" x14ac:dyDescent="0.2">
      <c r="I104" s="43" t="s">
        <v>75</v>
      </c>
      <c r="J104" s="25" t="s">
        <v>103</v>
      </c>
      <c r="K104" s="25" t="s">
        <v>103</v>
      </c>
      <c r="L104" s="25" t="s">
        <v>103</v>
      </c>
      <c r="M104" s="25" t="s">
        <v>103</v>
      </c>
      <c r="N104" s="25" t="s">
        <v>103</v>
      </c>
      <c r="O104" s="25" t="s">
        <v>103</v>
      </c>
    </row>
    <row r="105" spans="2:15" x14ac:dyDescent="0.2">
      <c r="B105" t="str">
        <f>B96</f>
        <v>15-19</v>
      </c>
      <c r="C105">
        <f>C85/C96</f>
        <v>0</v>
      </c>
      <c r="D105">
        <f t="shared" ref="D105:H105" si="7">D85/D96</f>
        <v>0</v>
      </c>
      <c r="E105">
        <f t="shared" si="7"/>
        <v>0</v>
      </c>
      <c r="F105">
        <f t="shared" si="7"/>
        <v>0</v>
      </c>
      <c r="G105">
        <f t="shared" si="7"/>
        <v>0</v>
      </c>
      <c r="H105">
        <f t="shared" si="7"/>
        <v>0</v>
      </c>
      <c r="I105" s="47">
        <v>17.5</v>
      </c>
      <c r="J105" s="48">
        <f>$I105*C105</f>
        <v>0</v>
      </c>
      <c r="K105" s="48">
        <f>$I105*D105</f>
        <v>0</v>
      </c>
      <c r="L105" s="48">
        <f t="shared" ref="K105:O111" si="8">$I105*E105</f>
        <v>0</v>
      </c>
      <c r="M105" s="48">
        <f t="shared" si="8"/>
        <v>0</v>
      </c>
      <c r="N105" s="48">
        <f t="shared" si="8"/>
        <v>0</v>
      </c>
      <c r="O105" s="48">
        <f t="shared" si="8"/>
        <v>0</v>
      </c>
    </row>
    <row r="106" spans="2:15" x14ac:dyDescent="0.2">
      <c r="B106" t="str">
        <f t="shared" ref="B106:B111" si="9">B97</f>
        <v>20-24</v>
      </c>
      <c r="C106">
        <f t="shared" ref="C106:H111" si="10">C86/C97</f>
        <v>4.7910525179718028E-2</v>
      </c>
      <c r="D106">
        <f t="shared" si="10"/>
        <v>8.4077970223893614E-2</v>
      </c>
      <c r="E106">
        <f t="shared" si="10"/>
        <v>0</v>
      </c>
      <c r="F106">
        <f t="shared" si="10"/>
        <v>7.7819390760491519E-2</v>
      </c>
      <c r="G106">
        <f t="shared" si="10"/>
        <v>0.24217252096045816</v>
      </c>
      <c r="H106">
        <f t="shared" si="10"/>
        <v>9.2727229911863274E-2</v>
      </c>
      <c r="I106" s="47">
        <v>22.5</v>
      </c>
      <c r="J106" s="48">
        <f t="shared" ref="J106:J111" si="11">$I106*C106</f>
        <v>1.0779868165436557</v>
      </c>
      <c r="K106" s="48">
        <f t="shared" si="8"/>
        <v>1.8917543300376063</v>
      </c>
      <c r="L106" s="48">
        <f t="shared" si="8"/>
        <v>0</v>
      </c>
      <c r="M106" s="48">
        <f t="shared" si="8"/>
        <v>1.7509362921110592</v>
      </c>
      <c r="N106" s="48">
        <f t="shared" si="8"/>
        <v>5.4488817216103085</v>
      </c>
      <c r="O106" s="48">
        <f t="shared" si="8"/>
        <v>2.0863626730169238</v>
      </c>
    </row>
    <row r="107" spans="2:15" x14ac:dyDescent="0.2">
      <c r="B107" t="str">
        <f t="shared" si="9"/>
        <v>25-29</v>
      </c>
      <c r="C107">
        <f t="shared" si="10"/>
        <v>0.12346853807987035</v>
      </c>
      <c r="D107">
        <f t="shared" si="10"/>
        <v>7.3737358579389595E-2</v>
      </c>
      <c r="E107">
        <f t="shared" si="10"/>
        <v>0.1099545133715686</v>
      </c>
      <c r="F107">
        <f t="shared" si="10"/>
        <v>2.7574863861795178E-2</v>
      </c>
      <c r="G107">
        <f t="shared" si="10"/>
        <v>0.17044159773083314</v>
      </c>
      <c r="H107">
        <f t="shared" si="10"/>
        <v>0.10348202360374642</v>
      </c>
      <c r="I107" s="47">
        <v>27.5</v>
      </c>
      <c r="J107" s="48">
        <f t="shared" si="11"/>
        <v>3.3953847971964346</v>
      </c>
      <c r="K107" s="48">
        <f t="shared" si="8"/>
        <v>2.0277773609332139</v>
      </c>
      <c r="L107" s="48">
        <f t="shared" si="8"/>
        <v>3.0237491177181366</v>
      </c>
      <c r="M107" s="48">
        <f t="shared" si="8"/>
        <v>0.75830875619936744</v>
      </c>
      <c r="N107" s="48">
        <f t="shared" si="8"/>
        <v>4.6871439375979111</v>
      </c>
      <c r="O107" s="48">
        <f t="shared" si="8"/>
        <v>2.8457556491030265</v>
      </c>
    </row>
    <row r="108" spans="2:15" x14ac:dyDescent="0.2">
      <c r="B108" t="str">
        <f t="shared" si="9"/>
        <v>30-34</v>
      </c>
      <c r="C108">
        <f t="shared" si="10"/>
        <v>5.8957547454892227E-2</v>
      </c>
      <c r="D108">
        <f t="shared" si="10"/>
        <v>6.7029725299774065E-2</v>
      </c>
      <c r="E108">
        <f t="shared" si="10"/>
        <v>0.11583776276358697</v>
      </c>
      <c r="F108">
        <f t="shared" si="10"/>
        <v>5.2601943094157687E-2</v>
      </c>
      <c r="G108">
        <f t="shared" si="10"/>
        <v>0.11559430275740165</v>
      </c>
      <c r="H108">
        <f t="shared" si="10"/>
        <v>7.1455489204333353E-2</v>
      </c>
      <c r="I108" s="47">
        <v>32.5</v>
      </c>
      <c r="J108" s="48">
        <f t="shared" si="11"/>
        <v>1.9161202922839973</v>
      </c>
      <c r="K108" s="48">
        <f t="shared" si="8"/>
        <v>2.178466072242657</v>
      </c>
      <c r="L108" s="48">
        <f t="shared" si="8"/>
        <v>3.7647272898165767</v>
      </c>
      <c r="M108" s="48">
        <f t="shared" si="8"/>
        <v>1.7095631505601248</v>
      </c>
      <c r="N108" s="48">
        <f t="shared" si="8"/>
        <v>3.7568148396155538</v>
      </c>
      <c r="O108" s="48">
        <f t="shared" si="8"/>
        <v>2.3223033991408339</v>
      </c>
    </row>
    <row r="109" spans="2:15" x14ac:dyDescent="0.2">
      <c r="B109" t="str">
        <f t="shared" si="9"/>
        <v>35-39</v>
      </c>
      <c r="C109">
        <f t="shared" si="10"/>
        <v>6.9987433036854577E-2</v>
      </c>
      <c r="D109">
        <f t="shared" si="10"/>
        <v>3.3595606970070253E-2</v>
      </c>
      <c r="E109">
        <f t="shared" si="10"/>
        <v>5.0301772339096433E-2</v>
      </c>
      <c r="F109">
        <f t="shared" si="10"/>
        <v>4.1374526410881511E-2</v>
      </c>
      <c r="G109">
        <f t="shared" si="10"/>
        <v>9.7302127238665825E-2</v>
      </c>
      <c r="H109">
        <f t="shared" si="10"/>
        <v>0.12586771046473402</v>
      </c>
      <c r="I109" s="47">
        <v>37.5</v>
      </c>
      <c r="J109" s="48">
        <f t="shared" si="11"/>
        <v>2.6245287388820464</v>
      </c>
      <c r="K109" s="48">
        <f t="shared" si="8"/>
        <v>1.2598352613776345</v>
      </c>
      <c r="L109" s="48">
        <f t="shared" si="8"/>
        <v>1.8863164627161162</v>
      </c>
      <c r="M109" s="48">
        <f t="shared" si="8"/>
        <v>1.5515447404080567</v>
      </c>
      <c r="N109" s="48">
        <f t="shared" si="8"/>
        <v>3.6488297714499685</v>
      </c>
      <c r="O109" s="48">
        <f t="shared" si="8"/>
        <v>4.7200391424275256</v>
      </c>
    </row>
    <row r="110" spans="2:15" x14ac:dyDescent="0.2">
      <c r="B110" t="str">
        <f t="shared" si="9"/>
        <v>40-44</v>
      </c>
      <c r="C110">
        <f t="shared" si="10"/>
        <v>6.4671655439754311E-3</v>
      </c>
      <c r="D110">
        <f t="shared" si="10"/>
        <v>8.1502578584149582E-3</v>
      </c>
      <c r="E110">
        <f t="shared" si="10"/>
        <v>6.8080799740580733E-2</v>
      </c>
      <c r="F110">
        <f t="shared" si="10"/>
        <v>0</v>
      </c>
      <c r="G110">
        <f t="shared" si="10"/>
        <v>0</v>
      </c>
      <c r="H110">
        <f t="shared" si="10"/>
        <v>1.3423743236312225E-2</v>
      </c>
      <c r="I110" s="47">
        <v>42.5</v>
      </c>
      <c r="J110" s="48">
        <f t="shared" si="11"/>
        <v>0.27485453561895584</v>
      </c>
      <c r="K110" s="48">
        <f t="shared" si="8"/>
        <v>0.34638595898263574</v>
      </c>
      <c r="L110" s="48">
        <f t="shared" si="8"/>
        <v>2.8934339889746812</v>
      </c>
      <c r="M110" s="48">
        <f t="shared" si="8"/>
        <v>0</v>
      </c>
      <c r="N110" s="48">
        <f t="shared" si="8"/>
        <v>0</v>
      </c>
      <c r="O110" s="48">
        <f t="shared" si="8"/>
        <v>0.57050908754326957</v>
      </c>
    </row>
    <row r="111" spans="2:15" x14ac:dyDescent="0.2">
      <c r="B111" t="str">
        <f t="shared" si="9"/>
        <v>45-49</v>
      </c>
      <c r="C111">
        <f t="shared" si="10"/>
        <v>2.7522353180358537E-3</v>
      </c>
      <c r="D111">
        <f t="shared" si="10"/>
        <v>0</v>
      </c>
      <c r="E111">
        <f t="shared" si="10"/>
        <v>0</v>
      </c>
      <c r="F111">
        <f t="shared" si="10"/>
        <v>0</v>
      </c>
      <c r="G111">
        <f t="shared" si="10"/>
        <v>0</v>
      </c>
      <c r="H111">
        <f t="shared" si="10"/>
        <v>0</v>
      </c>
      <c r="I111" s="47">
        <v>47.5</v>
      </c>
      <c r="J111" s="48">
        <f t="shared" si="11"/>
        <v>0.13073117760670305</v>
      </c>
      <c r="K111" s="48">
        <f t="shared" si="8"/>
        <v>0</v>
      </c>
      <c r="L111" s="48">
        <f t="shared" si="8"/>
        <v>0</v>
      </c>
      <c r="M111" s="48">
        <f t="shared" si="8"/>
        <v>0</v>
      </c>
      <c r="N111" s="48">
        <f t="shared" si="8"/>
        <v>0</v>
      </c>
      <c r="O111" s="48">
        <f t="shared" si="8"/>
        <v>0</v>
      </c>
    </row>
    <row r="112" spans="2:15" x14ac:dyDescent="0.2">
      <c r="J112" s="65">
        <f>SUM(J105:J111)/SUM(C105:C111)</f>
        <v>30.430643975994741</v>
      </c>
      <c r="K112" s="65">
        <f t="shared" ref="K112:O112" si="12">SUM(K105:K111)/SUM(D105:D111)</f>
        <v>28.899030073684187</v>
      </c>
      <c r="L112" s="65">
        <f t="shared" si="12"/>
        <v>33.611482417229581</v>
      </c>
      <c r="M112" s="65">
        <f t="shared" si="12"/>
        <v>28.942829818852619</v>
      </c>
      <c r="N112" s="65">
        <f t="shared" si="12"/>
        <v>28.043764101317144</v>
      </c>
      <c r="O112" s="65">
        <f t="shared" si="12"/>
        <v>30.826339693459342</v>
      </c>
    </row>
    <row r="115" spans="1:15" x14ac:dyDescent="0.2">
      <c r="B115" t="s">
        <v>123</v>
      </c>
    </row>
    <row r="116" spans="1:15" x14ac:dyDescent="0.2">
      <c r="A116" t="s">
        <v>48</v>
      </c>
      <c r="B116">
        <v>1101</v>
      </c>
      <c r="C116">
        <v>1102</v>
      </c>
      <c r="D116">
        <v>1201</v>
      </c>
      <c r="E116">
        <v>1202</v>
      </c>
      <c r="F116">
        <v>1301</v>
      </c>
      <c r="G116">
        <v>1302</v>
      </c>
    </row>
    <row r="117" spans="1:15" x14ac:dyDescent="0.2">
      <c r="B117" t="s">
        <v>54</v>
      </c>
      <c r="C117">
        <v>0</v>
      </c>
      <c r="D117">
        <v>2.7191230000000002</v>
      </c>
      <c r="E117">
        <v>0</v>
      </c>
      <c r="F117">
        <v>0</v>
      </c>
      <c r="G117">
        <v>0</v>
      </c>
      <c r="H117">
        <v>0</v>
      </c>
    </row>
    <row r="118" spans="1:15" x14ac:dyDescent="0.2">
      <c r="B118" t="s">
        <v>55</v>
      </c>
      <c r="C118">
        <v>161.13391300000001</v>
      </c>
      <c r="D118">
        <v>252.17424800000001</v>
      </c>
      <c r="E118">
        <v>40.199793</v>
      </c>
      <c r="F118">
        <v>45.148926000000003</v>
      </c>
      <c r="G118">
        <v>22.861494</v>
      </c>
      <c r="H118">
        <v>65.492891999999998</v>
      </c>
    </row>
    <row r="119" spans="1:15" x14ac:dyDescent="0.2">
      <c r="B119" t="s">
        <v>56</v>
      </c>
      <c r="C119">
        <v>485.418791</v>
      </c>
      <c r="D119">
        <v>701.75833699999998</v>
      </c>
      <c r="E119">
        <v>60.56814</v>
      </c>
      <c r="F119">
        <v>159.27713399999999</v>
      </c>
      <c r="G119">
        <v>56.403179000000002</v>
      </c>
      <c r="H119">
        <v>77.516919000000001</v>
      </c>
    </row>
    <row r="120" spans="1:15" x14ac:dyDescent="0.2">
      <c r="B120" t="s">
        <v>57</v>
      </c>
      <c r="C120">
        <v>725.25021300000003</v>
      </c>
      <c r="D120">
        <v>859.97166600000003</v>
      </c>
      <c r="E120">
        <v>68.513107000000005</v>
      </c>
      <c r="F120">
        <v>225.31626800000001</v>
      </c>
      <c r="G120">
        <v>56.915180999999997</v>
      </c>
      <c r="H120">
        <v>175.30021099999999</v>
      </c>
    </row>
    <row r="121" spans="1:15" x14ac:dyDescent="0.2">
      <c r="B121" t="s">
        <v>58</v>
      </c>
      <c r="C121">
        <v>422.15835199999998</v>
      </c>
      <c r="D121">
        <v>552.36946599999999</v>
      </c>
      <c r="E121">
        <v>14.943883</v>
      </c>
      <c r="F121">
        <v>200.04609300000001</v>
      </c>
      <c r="G121">
        <v>40.937359999999998</v>
      </c>
      <c r="H121">
        <v>90.739569000000003</v>
      </c>
    </row>
    <row r="122" spans="1:15" x14ac:dyDescent="0.2">
      <c r="B122" t="s">
        <v>59</v>
      </c>
      <c r="C122">
        <v>271.37544400000002</v>
      </c>
      <c r="D122">
        <v>357.155327</v>
      </c>
      <c r="E122">
        <v>43.184992000000001</v>
      </c>
      <c r="F122">
        <v>192.10654</v>
      </c>
      <c r="G122">
        <v>4.2319300000000002</v>
      </c>
      <c r="H122">
        <v>24.308975</v>
      </c>
    </row>
    <row r="123" spans="1:15" x14ac:dyDescent="0.2">
      <c r="B123" t="s">
        <v>60</v>
      </c>
      <c r="C123">
        <v>275.05494700000003</v>
      </c>
      <c r="D123">
        <v>271.10736500000002</v>
      </c>
      <c r="E123">
        <v>24.356317000000001</v>
      </c>
      <c r="F123">
        <v>39.043373000000003</v>
      </c>
      <c r="G123">
        <v>25.749652000000001</v>
      </c>
      <c r="H123">
        <v>10.275842000000001</v>
      </c>
    </row>
    <row r="124" spans="1:15" x14ac:dyDescent="0.2">
      <c r="J124">
        <f>C116</f>
        <v>1102</v>
      </c>
      <c r="K124">
        <f t="shared" ref="K124" si="13">D116</f>
        <v>1201</v>
      </c>
      <c r="L124">
        <f t="shared" ref="L124" si="14">E116</f>
        <v>1202</v>
      </c>
      <c r="M124">
        <f t="shared" ref="M124" si="15">F116</f>
        <v>1301</v>
      </c>
      <c r="N124">
        <f t="shared" ref="N124" si="16">G116</f>
        <v>1302</v>
      </c>
      <c r="O124">
        <f t="shared" ref="O124" si="17">H116</f>
        <v>0</v>
      </c>
    </row>
    <row r="125" spans="1:15" x14ac:dyDescent="0.2">
      <c r="I125" s="43" t="s">
        <v>75</v>
      </c>
      <c r="J125" s="25" t="s">
        <v>103</v>
      </c>
      <c r="K125" s="25" t="s">
        <v>103</v>
      </c>
      <c r="L125" s="25" t="s">
        <v>103</v>
      </c>
      <c r="M125" s="25" t="s">
        <v>103</v>
      </c>
      <c r="N125" s="25" t="s">
        <v>103</v>
      </c>
      <c r="O125" s="25" t="s">
        <v>103</v>
      </c>
    </row>
    <row r="126" spans="1:15" x14ac:dyDescent="0.2">
      <c r="B126" t="str">
        <f>B117</f>
        <v>15-19</v>
      </c>
      <c r="C126">
        <f>C117/C96</f>
        <v>0</v>
      </c>
      <c r="D126">
        <f t="shared" ref="D126:H126" si="18">D117/D96</f>
        <v>3.8472521795098455E-2</v>
      </c>
      <c r="E126">
        <f t="shared" si="18"/>
        <v>0</v>
      </c>
      <c r="F126">
        <f t="shared" si="18"/>
        <v>0</v>
      </c>
      <c r="G126">
        <f t="shared" si="18"/>
        <v>0</v>
      </c>
      <c r="H126">
        <f t="shared" si="18"/>
        <v>0</v>
      </c>
      <c r="I126" s="47">
        <v>17.5</v>
      </c>
      <c r="J126" s="48">
        <f>$I126*C126</f>
        <v>0</v>
      </c>
      <c r="K126" s="48">
        <f>$I126*D126</f>
        <v>0.67326913141422295</v>
      </c>
      <c r="L126" s="48">
        <f t="shared" ref="L126:L132" si="19">$I126*E126</f>
        <v>0</v>
      </c>
      <c r="M126" s="48">
        <f t="shared" ref="M126:M132" si="20">$I126*F126</f>
        <v>0</v>
      </c>
      <c r="N126" s="48">
        <f t="shared" ref="N126:N132" si="21">$I126*G126</f>
        <v>0</v>
      </c>
      <c r="O126" s="48">
        <f t="shared" ref="O126:O132" si="22">$I126*H126</f>
        <v>0</v>
      </c>
    </row>
    <row r="127" spans="1:15" x14ac:dyDescent="0.2">
      <c r="B127" t="str">
        <f t="shared" ref="B127:B132" si="23">B118</f>
        <v>20-24</v>
      </c>
      <c r="C127">
        <f t="shared" ref="C127:H132" si="24">C118/C97</f>
        <v>0.2369413465712468</v>
      </c>
      <c r="D127">
        <f t="shared" si="24"/>
        <v>0.25195661618950382</v>
      </c>
      <c r="E127">
        <f t="shared" si="24"/>
        <v>0.38090688350701751</v>
      </c>
      <c r="F127">
        <f t="shared" si="24"/>
        <v>0.17096530949560018</v>
      </c>
      <c r="G127">
        <f t="shared" si="24"/>
        <v>0.62794012512496178</v>
      </c>
      <c r="H127">
        <f t="shared" si="24"/>
        <v>0.29636005824926209</v>
      </c>
      <c r="I127" s="47">
        <v>22.5</v>
      </c>
      <c r="J127" s="48">
        <f t="shared" ref="J127:J132" si="25">$I127*C127</f>
        <v>5.3311802978530531</v>
      </c>
      <c r="K127" s="48">
        <f t="shared" ref="K127:K132" si="26">$I127*D127</f>
        <v>5.6690238642638358</v>
      </c>
      <c r="L127" s="48">
        <f t="shared" si="19"/>
        <v>8.5704048789078939</v>
      </c>
      <c r="M127" s="48">
        <f t="shared" si="20"/>
        <v>3.846719463651004</v>
      </c>
      <c r="N127" s="48">
        <f t="shared" si="21"/>
        <v>14.128652815311639</v>
      </c>
      <c r="O127" s="48">
        <f t="shared" si="22"/>
        <v>6.6681013106083968</v>
      </c>
    </row>
    <row r="128" spans="1:15" x14ac:dyDescent="0.2">
      <c r="B128" t="str">
        <f t="shared" si="23"/>
        <v>25-29</v>
      </c>
      <c r="C128">
        <f t="shared" si="24"/>
        <v>0.3437086900398495</v>
      </c>
      <c r="D128">
        <f t="shared" si="24"/>
        <v>0.34431483796335122</v>
      </c>
      <c r="E128">
        <f t="shared" si="24"/>
        <v>0.32978382765800973</v>
      </c>
      <c r="F128">
        <f t="shared" si="24"/>
        <v>0.24673832301842058</v>
      </c>
      <c r="G128">
        <f t="shared" si="24"/>
        <v>0.2503243270385373</v>
      </c>
      <c r="H128">
        <f t="shared" si="24"/>
        <v>0.21272458741418468</v>
      </c>
      <c r="I128" s="47">
        <v>27.5</v>
      </c>
      <c r="J128" s="48">
        <f t="shared" si="25"/>
        <v>9.451988976095862</v>
      </c>
      <c r="K128" s="48">
        <f t="shared" si="26"/>
        <v>9.4686580439921588</v>
      </c>
      <c r="L128" s="48">
        <f t="shared" si="19"/>
        <v>9.0690552605952668</v>
      </c>
      <c r="M128" s="48">
        <f t="shared" si="20"/>
        <v>6.7853038830065664</v>
      </c>
      <c r="N128" s="48">
        <f t="shared" si="21"/>
        <v>6.8839189935597753</v>
      </c>
      <c r="O128" s="48">
        <f t="shared" si="22"/>
        <v>5.8499261538900784</v>
      </c>
    </row>
    <row r="129" spans="1:15" x14ac:dyDescent="0.2">
      <c r="B129" t="str">
        <f t="shared" si="23"/>
        <v>30-34</v>
      </c>
      <c r="C129">
        <f t="shared" si="24"/>
        <v>0.3546340318253049</v>
      </c>
      <c r="D129">
        <f t="shared" si="24"/>
        <v>0.29149819184035791</v>
      </c>
      <c r="E129">
        <f t="shared" si="24"/>
        <v>0.28076504977796779</v>
      </c>
      <c r="F129">
        <f t="shared" si="24"/>
        <v>0.29390548665033328</v>
      </c>
      <c r="G129">
        <f t="shared" si="24"/>
        <v>0.24912108661847199</v>
      </c>
      <c r="H129">
        <f t="shared" si="24"/>
        <v>0.29072990793357795</v>
      </c>
      <c r="I129" s="47">
        <v>32.5</v>
      </c>
      <c r="J129" s="48">
        <f t="shared" si="25"/>
        <v>11.52560603432241</v>
      </c>
      <c r="K129" s="48">
        <f t="shared" si="26"/>
        <v>9.473691234811632</v>
      </c>
      <c r="L129" s="48">
        <f t="shared" si="19"/>
        <v>9.1248641177839538</v>
      </c>
      <c r="M129" s="48">
        <f t="shared" si="20"/>
        <v>9.5519283161358324</v>
      </c>
      <c r="N129" s="48">
        <f t="shared" si="21"/>
        <v>8.0964353151003401</v>
      </c>
      <c r="O129" s="48">
        <f t="shared" si="22"/>
        <v>9.4487220078412832</v>
      </c>
    </row>
    <row r="130" spans="1:15" x14ac:dyDescent="0.2">
      <c r="B130" t="str">
        <f t="shared" si="23"/>
        <v>35-39</v>
      </c>
      <c r="C130">
        <f t="shared" si="24"/>
        <v>0.24304372938135502</v>
      </c>
      <c r="D130">
        <f t="shared" si="24"/>
        <v>0.19968781011050352</v>
      </c>
      <c r="E130">
        <f t="shared" si="24"/>
        <v>8.9083915810033026E-2</v>
      </c>
      <c r="F130">
        <f t="shared" si="24"/>
        <v>0.2410987231271921</v>
      </c>
      <c r="G130">
        <f t="shared" si="24"/>
        <v>0.19767910154839266</v>
      </c>
      <c r="H130">
        <f t="shared" si="24"/>
        <v>0.17903224522388425</v>
      </c>
      <c r="I130" s="47">
        <v>37.5</v>
      </c>
      <c r="J130" s="48">
        <f t="shared" si="25"/>
        <v>9.1141398518008128</v>
      </c>
      <c r="K130" s="48">
        <f t="shared" si="26"/>
        <v>7.4882928791438816</v>
      </c>
      <c r="L130" s="48">
        <f t="shared" si="19"/>
        <v>3.3406468428762386</v>
      </c>
      <c r="M130" s="48">
        <f t="shared" si="20"/>
        <v>9.0412021172697035</v>
      </c>
      <c r="N130" s="48">
        <f t="shared" si="21"/>
        <v>7.4129663080647248</v>
      </c>
      <c r="O130" s="48">
        <f t="shared" si="22"/>
        <v>6.7137091958956594</v>
      </c>
    </row>
    <row r="131" spans="1:15" x14ac:dyDescent="0.2">
      <c r="B131" t="str">
        <f t="shared" si="23"/>
        <v>40-44</v>
      </c>
      <c r="C131">
        <f t="shared" si="24"/>
        <v>0.14178260765986539</v>
      </c>
      <c r="D131">
        <f t="shared" si="24"/>
        <v>0.1462593288769061</v>
      </c>
      <c r="E131">
        <f t="shared" si="24"/>
        <v>0.22824921592798958</v>
      </c>
      <c r="F131">
        <f t="shared" si="24"/>
        <v>0.21113954587340003</v>
      </c>
      <c r="G131">
        <f t="shared" si="24"/>
        <v>4.0262435504353003E-2</v>
      </c>
      <c r="H131">
        <f t="shared" si="24"/>
        <v>5.6545054580118305E-2</v>
      </c>
      <c r="I131" s="47">
        <v>42.5</v>
      </c>
      <c r="J131" s="48">
        <f t="shared" si="25"/>
        <v>6.0257608255442792</v>
      </c>
      <c r="K131" s="48">
        <f t="shared" si="26"/>
        <v>6.2160214772685087</v>
      </c>
      <c r="L131" s="48">
        <f t="shared" si="19"/>
        <v>9.7005916769395579</v>
      </c>
      <c r="M131" s="48">
        <f t="shared" si="20"/>
        <v>8.9734306996195006</v>
      </c>
      <c r="N131" s="48">
        <f t="shared" si="21"/>
        <v>1.7111535089350027</v>
      </c>
      <c r="O131" s="48">
        <f t="shared" si="22"/>
        <v>2.4031648196550282</v>
      </c>
    </row>
    <row r="132" spans="1:15" x14ac:dyDescent="0.2">
      <c r="B132" t="str">
        <f t="shared" si="23"/>
        <v>45-49</v>
      </c>
      <c r="C132">
        <f t="shared" si="24"/>
        <v>0.1409223948212166</v>
      </c>
      <c r="D132">
        <f t="shared" si="24"/>
        <v>0.11718981809743784</v>
      </c>
      <c r="E132">
        <f t="shared" si="24"/>
        <v>0.25082398768000241</v>
      </c>
      <c r="F132">
        <f t="shared" si="24"/>
        <v>6.8216887542013729E-2</v>
      </c>
      <c r="G132">
        <f t="shared" si="24"/>
        <v>0.15833180389917412</v>
      </c>
      <c r="H132">
        <f t="shared" si="24"/>
        <v>3.255037063582495E-2</v>
      </c>
      <c r="I132" s="47">
        <v>47.5</v>
      </c>
      <c r="J132" s="48">
        <f t="shared" si="25"/>
        <v>6.6938137540077882</v>
      </c>
      <c r="K132" s="48">
        <f t="shared" si="26"/>
        <v>5.5665163596282969</v>
      </c>
      <c r="L132" s="48">
        <f t="shared" si="19"/>
        <v>11.914139414800115</v>
      </c>
      <c r="M132" s="48">
        <f t="shared" si="20"/>
        <v>3.2403021582456519</v>
      </c>
      <c r="N132" s="48">
        <f t="shared" si="21"/>
        <v>7.5207606852107709</v>
      </c>
      <c r="O132" s="48">
        <f t="shared" si="22"/>
        <v>1.5461426052016851</v>
      </c>
    </row>
    <row r="133" spans="1:15" x14ac:dyDescent="0.2">
      <c r="J133" s="65">
        <f>SUM(J126:J132)/SUM(C126:C132)</f>
        <v>32.950998587969544</v>
      </c>
      <c r="K133" s="65">
        <f t="shared" ref="K133" si="27">SUM(K126:K132)/SUM(D126:D132)</f>
        <v>32.068621294846466</v>
      </c>
      <c r="L133" s="65">
        <f t="shared" ref="L133" si="28">SUM(L126:L132)/SUM(E126:E132)</f>
        <v>33.161884492728042</v>
      </c>
      <c r="M133" s="65">
        <f t="shared" ref="M133" si="29">SUM(M126:M132)/SUM(F126:F132)</f>
        <v>33.633705201094791</v>
      </c>
      <c r="N133" s="65">
        <f t="shared" ref="N133" si="30">SUM(N126:N132)/SUM(G126:G132)</f>
        <v>30.028957422656987</v>
      </c>
      <c r="O133" s="65">
        <f t="shared" ref="O133" si="31">SUM(O126:O132)/SUM(H126:H132)</f>
        <v>30.553868326088537</v>
      </c>
    </row>
    <row r="135" spans="1:15" s="67" customFormat="1" x14ac:dyDescent="0.2"/>
    <row r="137" spans="1:15" x14ac:dyDescent="0.2">
      <c r="A137" t="s">
        <v>42</v>
      </c>
      <c r="B137" t="s">
        <v>125</v>
      </c>
      <c r="C137" t="s">
        <v>45</v>
      </c>
      <c r="D137" t="s">
        <v>46</v>
      </c>
    </row>
    <row r="138" spans="1:15" x14ac:dyDescent="0.2">
      <c r="A138" t="s">
        <v>126</v>
      </c>
    </row>
    <row r="139" spans="1:15" ht="20" x14ac:dyDescent="0.2">
      <c r="B139">
        <v>1</v>
      </c>
      <c r="C139">
        <v>2</v>
      </c>
      <c r="D139">
        <v>3</v>
      </c>
      <c r="E139">
        <v>4</v>
      </c>
      <c r="F139">
        <v>5</v>
      </c>
      <c r="G139">
        <v>6</v>
      </c>
      <c r="H139">
        <v>7</v>
      </c>
      <c r="I139">
        <v>8</v>
      </c>
      <c r="J139">
        <v>9</v>
      </c>
      <c r="L139" s="70" t="s">
        <v>160</v>
      </c>
    </row>
    <row r="140" spans="1:15" ht="20" x14ac:dyDescent="0.2">
      <c r="B140" s="61">
        <v>689.06209999999999</v>
      </c>
      <c r="C140" s="61">
        <v>61393.104899999998</v>
      </c>
      <c r="D140" s="61">
        <v>18924.2549</v>
      </c>
      <c r="E140" s="61">
        <v>16557.0959</v>
      </c>
      <c r="F140" s="61">
        <v>161105.8132</v>
      </c>
      <c r="G140" s="61">
        <v>534473.82090000005</v>
      </c>
      <c r="H140" s="61">
        <v>536555.13119999995</v>
      </c>
      <c r="I140" s="61">
        <v>19525.782200000001</v>
      </c>
      <c r="J140" s="61">
        <v>2388.9373000000001</v>
      </c>
      <c r="L140" s="70" t="s">
        <v>161</v>
      </c>
    </row>
    <row r="141" spans="1:15" ht="20" x14ac:dyDescent="0.2">
      <c r="B141" s="68">
        <f>B140/SUM($B$140:$J$140)</f>
        <v>5.0980724414052023E-4</v>
      </c>
      <c r="C141" s="68">
        <f t="shared" ref="C141:J141" si="32">C140/SUM($B$140:$J$140)</f>
        <v>4.5422102911042227E-2</v>
      </c>
      <c r="D141" s="68">
        <f t="shared" si="32"/>
        <v>1.4001237679422126E-2</v>
      </c>
      <c r="E141" s="68">
        <f t="shared" si="32"/>
        <v>1.2249879120835855E-2</v>
      </c>
      <c r="F141" s="68">
        <f t="shared" si="32"/>
        <v>0.11919522295959893</v>
      </c>
      <c r="G141" s="68">
        <f t="shared" si="32"/>
        <v>0.39543406276195286</v>
      </c>
      <c r="H141" s="69">
        <f t="shared" si="32"/>
        <v>0.39697393423107624</v>
      </c>
      <c r="I141" s="69">
        <f t="shared" si="32"/>
        <v>1.4446281711140442E-2</v>
      </c>
      <c r="J141" s="68">
        <f t="shared" si="32"/>
        <v>1.7674713807906361E-3</v>
      </c>
      <c r="L141" s="70" t="s">
        <v>162</v>
      </c>
    </row>
    <row r="142" spans="1:15" ht="20" x14ac:dyDescent="0.2">
      <c r="H142" s="71">
        <f>SUM(H141:I141)</f>
        <v>0.41142021594221667</v>
      </c>
      <c r="L142" s="70" t="s">
        <v>163</v>
      </c>
    </row>
    <row r="143" spans="1:15" ht="20" x14ac:dyDescent="0.2">
      <c r="B143" t="s">
        <v>127</v>
      </c>
      <c r="C143" t="s">
        <v>1</v>
      </c>
      <c r="L143" s="70" t="s">
        <v>164</v>
      </c>
    </row>
    <row r="144" spans="1:15" ht="20" x14ac:dyDescent="0.2">
      <c r="A144">
        <v>1</v>
      </c>
      <c r="B144" t="s">
        <v>128</v>
      </c>
      <c r="C144" t="s">
        <v>110</v>
      </c>
      <c r="D144" t="s">
        <v>129</v>
      </c>
      <c r="E144" t="s">
        <v>130</v>
      </c>
      <c r="F144" t="s">
        <v>131</v>
      </c>
      <c r="G144" s="61">
        <v>2754.4780000000001</v>
      </c>
      <c r="H144" s="68">
        <f>G144/SUM($G$144:$G$156)</f>
        <v>1.749461304519585E-3</v>
      </c>
      <c r="L144" s="70" t="s">
        <v>165</v>
      </c>
    </row>
    <row r="145" spans="1:12" ht="20" x14ac:dyDescent="0.2">
      <c r="A145">
        <v>2</v>
      </c>
      <c r="B145" t="s">
        <v>132</v>
      </c>
      <c r="C145" t="s">
        <v>133</v>
      </c>
      <c r="D145" t="s">
        <v>134</v>
      </c>
      <c r="E145" t="s">
        <v>135</v>
      </c>
      <c r="F145" t="s">
        <v>136</v>
      </c>
      <c r="G145" s="61">
        <v>2801.4630000000002</v>
      </c>
      <c r="H145" s="68">
        <f t="shared" ref="H145:H156" si="33">G145/SUM($G$144:$G$156)</f>
        <v>1.7793030528990795E-3</v>
      </c>
      <c r="L145" s="70" t="s">
        <v>166</v>
      </c>
    </row>
    <row r="146" spans="1:12" ht="20" x14ac:dyDescent="0.2">
      <c r="A146">
        <v>3</v>
      </c>
      <c r="B146" t="s">
        <v>132</v>
      </c>
      <c r="C146" t="s">
        <v>137</v>
      </c>
      <c r="D146" t="s">
        <v>138</v>
      </c>
      <c r="G146" s="61">
        <v>5631.0129999999999</v>
      </c>
      <c r="H146" s="68">
        <f t="shared" si="33"/>
        <v>3.5764451009399028E-3</v>
      </c>
      <c r="L146" s="70" t="s">
        <v>167</v>
      </c>
    </row>
    <row r="147" spans="1:12" ht="20" x14ac:dyDescent="0.2">
      <c r="A147">
        <v>4</v>
      </c>
      <c r="B147" t="s">
        <v>139</v>
      </c>
      <c r="C147" t="s">
        <v>140</v>
      </c>
      <c r="D147" t="s">
        <v>141</v>
      </c>
      <c r="E147" t="s">
        <v>130</v>
      </c>
      <c r="F147" t="s">
        <v>142</v>
      </c>
      <c r="G147" s="61">
        <v>2006.191</v>
      </c>
      <c r="H147" s="68">
        <f t="shared" si="33"/>
        <v>1.2741991491583707E-3</v>
      </c>
      <c r="L147" s="70" t="s">
        <v>168</v>
      </c>
    </row>
    <row r="148" spans="1:12" ht="20" x14ac:dyDescent="0.2">
      <c r="A148">
        <v>5</v>
      </c>
      <c r="B148" t="s">
        <v>143</v>
      </c>
      <c r="G148" s="61">
        <v>16684.84</v>
      </c>
      <c r="H148" s="69">
        <f t="shared" si="33"/>
        <v>1.0597101139344933E-2</v>
      </c>
      <c r="L148" s="70" t="s">
        <v>169</v>
      </c>
    </row>
    <row r="149" spans="1:12" x14ac:dyDescent="0.2">
      <c r="A149">
        <v>6</v>
      </c>
      <c r="B149" t="s">
        <v>144</v>
      </c>
      <c r="C149" t="s">
        <v>145</v>
      </c>
      <c r="D149" t="s">
        <v>146</v>
      </c>
      <c r="E149" t="s">
        <v>135</v>
      </c>
      <c r="F149" t="s">
        <v>147</v>
      </c>
      <c r="G149" s="61">
        <v>19277.349999999999</v>
      </c>
      <c r="H149" s="68">
        <f t="shared" si="33"/>
        <v>1.2243691138096082E-2</v>
      </c>
    </row>
    <row r="150" spans="1:12" x14ac:dyDescent="0.2">
      <c r="A150">
        <v>7</v>
      </c>
      <c r="B150" t="s">
        <v>144</v>
      </c>
      <c r="C150" t="s">
        <v>145</v>
      </c>
      <c r="D150" t="s">
        <v>146</v>
      </c>
      <c r="E150" t="s">
        <v>135</v>
      </c>
      <c r="F150" t="s">
        <v>147</v>
      </c>
      <c r="G150" s="61">
        <v>22475.146000000001</v>
      </c>
      <c r="H150" s="68">
        <f t="shared" si="33"/>
        <v>1.4274718563890558E-2</v>
      </c>
    </row>
    <row r="151" spans="1:12" x14ac:dyDescent="0.2">
      <c r="A151">
        <v>8</v>
      </c>
      <c r="B151" t="s">
        <v>144</v>
      </c>
      <c r="C151" t="s">
        <v>145</v>
      </c>
      <c r="D151" t="s">
        <v>146</v>
      </c>
      <c r="E151" t="s">
        <v>135</v>
      </c>
      <c r="F151" t="s">
        <v>147</v>
      </c>
      <c r="G151" s="61">
        <v>71539.043000000005</v>
      </c>
      <c r="H151" s="68">
        <f t="shared" si="33"/>
        <v>4.5436844110159059E-2</v>
      </c>
    </row>
    <row r="152" spans="1:12" x14ac:dyDescent="0.2">
      <c r="A152">
        <v>9</v>
      </c>
      <c r="B152" t="s">
        <v>149</v>
      </c>
      <c r="C152" t="s">
        <v>110</v>
      </c>
      <c r="D152" t="s">
        <v>150</v>
      </c>
      <c r="E152" t="s">
        <v>151</v>
      </c>
      <c r="F152" t="s">
        <v>152</v>
      </c>
      <c r="G152" s="61">
        <v>271736.45299999998</v>
      </c>
      <c r="H152" s="69">
        <f t="shared" si="33"/>
        <v>0.17258892957246522</v>
      </c>
    </row>
    <row r="153" spans="1:12" x14ac:dyDescent="0.2">
      <c r="A153">
        <v>10</v>
      </c>
      <c r="B153" t="s">
        <v>153</v>
      </c>
      <c r="G153" s="61">
        <v>36145.722000000002</v>
      </c>
      <c r="H153" s="69">
        <f t="shared" si="33"/>
        <v>2.2957359602408248E-2</v>
      </c>
    </row>
    <row r="154" spans="1:12" x14ac:dyDescent="0.2">
      <c r="A154">
        <v>11</v>
      </c>
      <c r="B154" t="s">
        <v>154</v>
      </c>
      <c r="C154" t="s">
        <v>146</v>
      </c>
      <c r="D154" t="s">
        <v>155</v>
      </c>
      <c r="E154" t="s">
        <v>148</v>
      </c>
      <c r="F154" t="s">
        <v>156</v>
      </c>
      <c r="G154" s="61">
        <v>425691.71500000003</v>
      </c>
      <c r="H154" s="68">
        <f t="shared" si="33"/>
        <v>0.27037107685996381</v>
      </c>
    </row>
    <row r="155" spans="1:12" x14ac:dyDescent="0.2">
      <c r="A155">
        <v>12</v>
      </c>
      <c r="B155" t="s">
        <v>157</v>
      </c>
      <c r="C155" t="s">
        <v>110</v>
      </c>
      <c r="D155" t="s">
        <v>158</v>
      </c>
      <c r="G155" s="61">
        <v>682419.27500000002</v>
      </c>
      <c r="H155" s="69">
        <f t="shared" si="33"/>
        <v>0.43342735540846922</v>
      </c>
      <c r="I155" s="71">
        <f>H155+H153+H148+H152</f>
        <v>0.63957074572268757</v>
      </c>
    </row>
    <row r="156" spans="1:12" x14ac:dyDescent="0.2">
      <c r="A156">
        <v>13</v>
      </c>
      <c r="B156" t="s">
        <v>159</v>
      </c>
      <c r="C156" t="s">
        <v>148</v>
      </c>
      <c r="D156" t="s">
        <v>156</v>
      </c>
      <c r="E156" t="s">
        <v>145</v>
      </c>
      <c r="F156" t="s">
        <v>146</v>
      </c>
      <c r="G156" s="61">
        <v>15309.403</v>
      </c>
      <c r="H156" s="68">
        <f t="shared" si="33"/>
        <v>9.7235149976859676E-3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3E492-FB0B-FA4B-8518-49E51B7A1153}">
  <dimension ref="A1:T919"/>
  <sheetViews>
    <sheetView topLeftCell="D4" zoomScale="125" workbookViewId="0">
      <selection activeCell="R4" sqref="R4:T7"/>
    </sheetView>
  </sheetViews>
  <sheetFormatPr baseColWidth="10" defaultColWidth="12.5" defaultRowHeight="15" customHeight="1" x14ac:dyDescent="0.2"/>
  <cols>
    <col min="1" max="1" width="8.5" style="1" customWidth="1"/>
    <col min="2" max="2" width="12.1640625" style="1" customWidth="1"/>
    <col min="3" max="7" width="8.5" style="1" customWidth="1"/>
    <col min="8" max="8" width="10.1640625" style="1" customWidth="1"/>
    <col min="9" max="10" width="8.5" style="1" customWidth="1"/>
    <col min="11" max="11" width="8.33203125" style="1" customWidth="1"/>
    <col min="12" max="12" width="8.5" style="1" customWidth="1"/>
    <col min="13" max="13" width="7.83203125" style="1" customWidth="1"/>
    <col min="14" max="14" width="10.1640625" style="1" customWidth="1"/>
    <col min="15" max="15" width="13" style="1" customWidth="1"/>
    <col min="16" max="16" width="8.5" style="1" customWidth="1"/>
    <col min="17" max="17" width="10.1640625" style="1" customWidth="1"/>
    <col min="18" max="24" width="8.5" style="1" customWidth="1"/>
    <col min="25" max="16384" width="12.5" style="1"/>
  </cols>
  <sheetData>
    <row r="1" spans="1:20" s="73" customFormat="1" ht="15.75" customHeight="1" x14ac:dyDescent="0.2">
      <c r="A1" s="74" t="s">
        <v>261</v>
      </c>
    </row>
    <row r="2" spans="1:20" ht="15.75" customHeight="1" x14ac:dyDescent="0.2">
      <c r="A2" s="1" t="s">
        <v>42</v>
      </c>
      <c r="B2" s="1" t="s">
        <v>98</v>
      </c>
      <c r="C2" s="1" t="s">
        <v>47</v>
      </c>
      <c r="D2" s="1" t="s">
        <v>44</v>
      </c>
      <c r="E2" s="1" t="s">
        <v>45</v>
      </c>
      <c r="F2" s="1" t="s">
        <v>193</v>
      </c>
      <c r="J2" s="1" t="s">
        <v>42</v>
      </c>
      <c r="K2" s="1" t="s">
        <v>98</v>
      </c>
      <c r="L2" s="1" t="s">
        <v>47</v>
      </c>
      <c r="M2" s="1" t="s">
        <v>44</v>
      </c>
      <c r="N2" s="1" t="s">
        <v>45</v>
      </c>
      <c r="O2" s="1" t="s">
        <v>193</v>
      </c>
    </row>
    <row r="3" spans="1:20" ht="15.75" customHeight="1" x14ac:dyDescent="0.2">
      <c r="B3" s="1" t="s">
        <v>48</v>
      </c>
      <c r="C3" s="1" t="s">
        <v>1</v>
      </c>
      <c r="D3" s="1" t="s">
        <v>89</v>
      </c>
      <c r="E3" s="32" t="s">
        <v>173</v>
      </c>
      <c r="K3" s="1" t="s">
        <v>48</v>
      </c>
      <c r="L3" s="1" t="s">
        <v>1</v>
      </c>
      <c r="M3" s="1" t="s">
        <v>89</v>
      </c>
      <c r="N3" s="32" t="s">
        <v>173</v>
      </c>
    </row>
    <row r="4" spans="1:20" ht="15.75" customHeight="1" x14ac:dyDescent="0.2">
      <c r="A4" s="1">
        <v>1</v>
      </c>
      <c r="B4" s="1" t="s">
        <v>54</v>
      </c>
      <c r="C4" s="56">
        <v>41345.269999999997</v>
      </c>
      <c r="D4" s="56">
        <v>45962.713799999998</v>
      </c>
      <c r="E4" s="100">
        <f>C4/D4</f>
        <v>0.89953935661649287</v>
      </c>
      <c r="J4" s="1">
        <v>1</v>
      </c>
      <c r="K4" s="1" t="s">
        <v>54</v>
      </c>
      <c r="L4" s="1">
        <v>11624.63</v>
      </c>
      <c r="M4" s="49">
        <v>12730.08</v>
      </c>
      <c r="N4" s="100">
        <f>L4/M4</f>
        <v>0.9131623681862171</v>
      </c>
      <c r="R4" s="1" t="s">
        <v>263</v>
      </c>
    </row>
    <row r="5" spans="1:20" ht="15.75" customHeight="1" x14ac:dyDescent="0.2">
      <c r="A5" s="1">
        <v>2</v>
      </c>
      <c r="B5" s="1" t="s">
        <v>55</v>
      </c>
      <c r="C5" s="56">
        <v>114488.49</v>
      </c>
      <c r="D5" s="56">
        <v>168925.723</v>
      </c>
      <c r="E5" s="100">
        <f t="shared" ref="E5:E12" si="0">C5/D5</f>
        <v>0.67774456114063819</v>
      </c>
      <c r="J5" s="1">
        <v>2</v>
      </c>
      <c r="K5" s="1" t="s">
        <v>55</v>
      </c>
      <c r="L5" s="1">
        <v>91917.41</v>
      </c>
      <c r="M5" s="49">
        <v>120566.8</v>
      </c>
      <c r="N5" s="100">
        <f t="shared" ref="N5:N10" si="1">L5/M5</f>
        <v>0.76237745382642652</v>
      </c>
      <c r="S5" s="1" t="s">
        <v>262</v>
      </c>
      <c r="T5" s="1" t="s">
        <v>81</v>
      </c>
    </row>
    <row r="6" spans="1:20" ht="15.75" customHeight="1" x14ac:dyDescent="0.2">
      <c r="A6" s="1">
        <v>3</v>
      </c>
      <c r="B6" s="1" t="s">
        <v>56</v>
      </c>
      <c r="C6" s="56">
        <v>112067.06</v>
      </c>
      <c r="D6" s="56">
        <v>241724.43400000001</v>
      </c>
      <c r="E6" s="100">
        <f t="shared" si="0"/>
        <v>0.46361494427989847</v>
      </c>
      <c r="J6" s="1">
        <v>3</v>
      </c>
      <c r="K6" s="1" t="s">
        <v>56</v>
      </c>
      <c r="L6" s="1">
        <v>155555.29999999999</v>
      </c>
      <c r="M6" s="49">
        <v>274550.33</v>
      </c>
      <c r="N6" s="100">
        <f t="shared" si="1"/>
        <v>0.56658209079552002</v>
      </c>
      <c r="R6" s="35">
        <v>2000</v>
      </c>
      <c r="S6" s="133">
        <f>E12</f>
        <v>0.1521471149160343</v>
      </c>
      <c r="T6" s="134">
        <f>D117</f>
        <v>0.11717420960700874</v>
      </c>
    </row>
    <row r="7" spans="1:20" ht="15.75" customHeight="1" x14ac:dyDescent="0.2">
      <c r="A7" s="1">
        <v>4</v>
      </c>
      <c r="B7" s="1" t="s">
        <v>57</v>
      </c>
      <c r="C7" s="56">
        <v>83577.63</v>
      </c>
      <c r="D7" s="56">
        <v>307254.86090000003</v>
      </c>
      <c r="E7" s="100">
        <f t="shared" si="0"/>
        <v>0.27201402039722783</v>
      </c>
      <c r="J7" s="1">
        <v>4</v>
      </c>
      <c r="K7" s="1" t="s">
        <v>57</v>
      </c>
      <c r="L7" s="1">
        <v>120959.06</v>
      </c>
      <c r="M7" s="49">
        <v>358228.68</v>
      </c>
      <c r="N7" s="100">
        <f t="shared" si="1"/>
        <v>0.33765878265246657</v>
      </c>
      <c r="R7" s="35">
        <v>2010</v>
      </c>
      <c r="S7" s="133">
        <f>N12</f>
        <v>0.16598492268604667</v>
      </c>
      <c r="T7" s="134">
        <f>G117</f>
        <v>0.13271172292966379</v>
      </c>
    </row>
    <row r="8" spans="1:20" ht="15.75" customHeight="1" x14ac:dyDescent="0.2">
      <c r="A8" s="1">
        <v>5</v>
      </c>
      <c r="B8" s="1" t="s">
        <v>58</v>
      </c>
      <c r="C8" s="56">
        <v>63920.480000000003</v>
      </c>
      <c r="D8" s="56">
        <v>342431.07510000002</v>
      </c>
      <c r="E8" s="100">
        <f t="shared" si="0"/>
        <v>0.18666670360256682</v>
      </c>
      <c r="J8" s="1">
        <v>5</v>
      </c>
      <c r="K8" s="1" t="s">
        <v>58</v>
      </c>
      <c r="L8" s="1">
        <v>79087.210000000006</v>
      </c>
      <c r="M8" s="49">
        <v>371043.8</v>
      </c>
      <c r="N8" s="100">
        <f t="shared" si="1"/>
        <v>0.21314790868355707</v>
      </c>
    </row>
    <row r="9" spans="1:20" ht="15.75" customHeight="1" x14ac:dyDescent="0.2">
      <c r="A9" s="1">
        <v>6</v>
      </c>
      <c r="B9" s="1" t="s">
        <v>59</v>
      </c>
      <c r="C9" s="56">
        <v>47758.98</v>
      </c>
      <c r="D9" s="56">
        <v>313926.98790000001</v>
      </c>
      <c r="E9" s="100">
        <f t="shared" si="0"/>
        <v>0.15213403702396369</v>
      </c>
      <c r="J9" s="1">
        <v>6</v>
      </c>
      <c r="K9" s="1" t="s">
        <v>59</v>
      </c>
      <c r="L9" s="1">
        <v>69620.960000000006</v>
      </c>
      <c r="M9" s="49">
        <v>400119.16</v>
      </c>
      <c r="N9" s="100">
        <f t="shared" si="1"/>
        <v>0.17400056523161753</v>
      </c>
    </row>
    <row r="10" spans="1:20" ht="15.75" customHeight="1" x14ac:dyDescent="0.2">
      <c r="A10" s="1">
        <v>7</v>
      </c>
      <c r="B10" s="1" t="s">
        <v>60</v>
      </c>
      <c r="C10" s="56">
        <v>37960.57</v>
      </c>
      <c r="D10" s="56">
        <v>249472.12779999999</v>
      </c>
      <c r="E10" s="100">
        <f t="shared" si="0"/>
        <v>0.15216357167736477</v>
      </c>
      <c r="J10" s="1">
        <v>7</v>
      </c>
      <c r="K10" s="1" t="s">
        <v>60</v>
      </c>
      <c r="L10" s="1">
        <v>64049.11</v>
      </c>
      <c r="M10" s="49">
        <v>405195.37</v>
      </c>
      <c r="N10" s="100">
        <f t="shared" si="1"/>
        <v>0.15806969857528233</v>
      </c>
    </row>
    <row r="11" spans="1:20" ht="15.75" customHeight="1" x14ac:dyDescent="0.2">
      <c r="C11" s="6">
        <f t="shared" ref="C11:D11" si="2">SUM(C4:C10)</f>
        <v>501118.48</v>
      </c>
      <c r="D11" s="6">
        <f t="shared" si="2"/>
        <v>1669697.9225000001</v>
      </c>
      <c r="E11" s="100">
        <f t="shared" si="0"/>
        <v>0.30012523417989695</v>
      </c>
      <c r="L11" s="6">
        <f t="shared" ref="L11" si="3">SUM(L4:L10)</f>
        <v>592813.68000000005</v>
      </c>
      <c r="M11" s="6">
        <f t="shared" ref="M11" si="4">SUM(M4:M10)</f>
        <v>1942434.2199999997</v>
      </c>
      <c r="N11" s="100">
        <f>L11/M11</f>
        <v>0.30519112250812802</v>
      </c>
    </row>
    <row r="12" spans="1:20" ht="15.75" customHeight="1" x14ac:dyDescent="0.2">
      <c r="B12" s="123" t="s">
        <v>260</v>
      </c>
      <c r="C12" s="132">
        <f>SUM(C9:C10)</f>
        <v>85719.55</v>
      </c>
      <c r="D12" s="132">
        <f>SUM(D9:D10)</f>
        <v>563399.11569999997</v>
      </c>
      <c r="E12" s="124">
        <f t="shared" si="0"/>
        <v>0.1521471149160343</v>
      </c>
      <c r="K12" s="123" t="s">
        <v>260</v>
      </c>
      <c r="L12" s="123">
        <f>SUM(L9:L10)</f>
        <v>133670.07</v>
      </c>
      <c r="M12" s="123">
        <f>SUM(M9:M10)</f>
        <v>805314.53</v>
      </c>
      <c r="N12" s="124">
        <f>L12/M12</f>
        <v>0.16598492268604667</v>
      </c>
    </row>
    <row r="13" spans="1:20" ht="15.75" customHeight="1" x14ac:dyDescent="0.2">
      <c r="C13" s="6"/>
      <c r="D13" s="6"/>
      <c r="E13" s="122"/>
      <c r="L13" s="6"/>
      <c r="M13" s="6"/>
      <c r="N13" s="122"/>
    </row>
    <row r="14" spans="1:20" s="73" customFormat="1" ht="15.75" customHeight="1" x14ac:dyDescent="0.2">
      <c r="A14" s="74" t="s">
        <v>191</v>
      </c>
    </row>
    <row r="15" spans="1:20" ht="15.75" customHeight="1" x14ac:dyDescent="0.2"/>
    <row r="16" spans="1:20" ht="15.75" customHeight="1" x14ac:dyDescent="0.2">
      <c r="A16" s="1" t="s">
        <v>42</v>
      </c>
      <c r="B16" s="1" t="s">
        <v>189</v>
      </c>
      <c r="C16" s="1" t="s">
        <v>47</v>
      </c>
      <c r="D16" s="1" t="s">
        <v>44</v>
      </c>
      <c r="E16" s="1" t="s">
        <v>45</v>
      </c>
      <c r="F16" s="1" t="s">
        <v>192</v>
      </c>
      <c r="J16" s="1" t="s">
        <v>42</v>
      </c>
      <c r="K16" s="1" t="s">
        <v>189</v>
      </c>
      <c r="L16" s="1" t="s">
        <v>47</v>
      </c>
      <c r="M16" s="1" t="s">
        <v>44</v>
      </c>
      <c r="N16" s="1" t="s">
        <v>45</v>
      </c>
      <c r="O16" s="1" t="s">
        <v>192</v>
      </c>
    </row>
    <row r="17" spans="1:18" ht="15.75" customHeight="1" x14ac:dyDescent="0.2">
      <c r="B17" s="1" t="s">
        <v>174</v>
      </c>
      <c r="K17" s="1" t="s">
        <v>174</v>
      </c>
    </row>
    <row r="18" spans="1:18" ht="15.75" customHeight="1" x14ac:dyDescent="0.2">
      <c r="A18" s="1" t="s">
        <v>48</v>
      </c>
      <c r="C18" s="1" t="s">
        <v>175</v>
      </c>
      <c r="D18" s="1" t="s">
        <v>176</v>
      </c>
      <c r="E18" s="1" t="s">
        <v>177</v>
      </c>
      <c r="F18" s="1" t="s">
        <v>178</v>
      </c>
      <c r="G18" s="1" t="s">
        <v>188</v>
      </c>
      <c r="J18" s="1" t="s">
        <v>48</v>
      </c>
      <c r="L18" s="1" t="s">
        <v>175</v>
      </c>
      <c r="M18" s="1" t="s">
        <v>176</v>
      </c>
      <c r="N18" s="1" t="s">
        <v>177</v>
      </c>
      <c r="O18" s="1" t="s">
        <v>178</v>
      </c>
      <c r="P18" s="1" t="s">
        <v>188</v>
      </c>
    </row>
    <row r="19" spans="1:18" ht="15.75" customHeight="1" x14ac:dyDescent="0.2">
      <c r="B19" s="1" t="s">
        <v>54</v>
      </c>
      <c r="C19" s="56">
        <v>14009.261</v>
      </c>
      <c r="D19" s="56">
        <v>15549.304</v>
      </c>
      <c r="E19" s="56">
        <v>9001.7389999999996</v>
      </c>
      <c r="F19" s="56">
        <v>2784.9690000000001</v>
      </c>
      <c r="G19" s="6">
        <f>SUM(C19:F19)</f>
        <v>41345.273000000001</v>
      </c>
      <c r="K19" s="1" t="s">
        <v>54</v>
      </c>
      <c r="L19" s="56">
        <v>5964.0609999999997</v>
      </c>
      <c r="M19" s="56">
        <v>3690.0861</v>
      </c>
      <c r="N19" s="56">
        <v>833.94389999999999</v>
      </c>
      <c r="O19" s="56">
        <v>1136.5364999999999</v>
      </c>
      <c r="P19" s="6">
        <f>SUM(L19:O19)</f>
        <v>11624.627500000001</v>
      </c>
    </row>
    <row r="20" spans="1:18" ht="15.75" customHeight="1" x14ac:dyDescent="0.2">
      <c r="B20" s="1" t="s">
        <v>55</v>
      </c>
      <c r="C20" s="56">
        <v>33346.161999999997</v>
      </c>
      <c r="D20" s="56">
        <v>62917.076999999997</v>
      </c>
      <c r="E20" s="56">
        <v>10297.609</v>
      </c>
      <c r="F20" s="56">
        <v>7927.6440000000002</v>
      </c>
      <c r="G20" s="6">
        <f t="shared" ref="G20:G26" si="5">SUM(C20:F20)</f>
        <v>114488.492</v>
      </c>
      <c r="K20" s="1" t="s">
        <v>55</v>
      </c>
      <c r="L20" s="56">
        <v>40658.528200000001</v>
      </c>
      <c r="M20" s="56">
        <v>32774.223899999997</v>
      </c>
      <c r="N20" s="56">
        <v>4642.3707999999997</v>
      </c>
      <c r="O20" s="56">
        <v>13842.287899999999</v>
      </c>
      <c r="P20" s="6">
        <f t="shared" ref="P20:P26" si="6">SUM(L20:O20)</f>
        <v>91917.410799999998</v>
      </c>
    </row>
    <row r="21" spans="1:18" ht="15.75" customHeight="1" x14ac:dyDescent="0.2">
      <c r="B21" s="1" t="s">
        <v>56</v>
      </c>
      <c r="C21" s="56">
        <v>34009.396999999997</v>
      </c>
      <c r="D21" s="56">
        <v>61669.095000000001</v>
      </c>
      <c r="E21" s="56">
        <v>6415.9170000000004</v>
      </c>
      <c r="F21" s="56">
        <v>9972.6530000000002</v>
      </c>
      <c r="G21" s="6">
        <f t="shared" si="5"/>
        <v>112067.06200000001</v>
      </c>
      <c r="K21" s="1" t="s">
        <v>56</v>
      </c>
      <c r="L21" s="56">
        <v>64329.495499999997</v>
      </c>
      <c r="M21" s="56">
        <v>57730.9179</v>
      </c>
      <c r="N21" s="56">
        <v>8004.1216000000004</v>
      </c>
      <c r="O21" s="56">
        <v>25490.766899999999</v>
      </c>
      <c r="P21" s="6">
        <f t="shared" si="6"/>
        <v>155555.30189999999</v>
      </c>
    </row>
    <row r="22" spans="1:18" ht="15.75" customHeight="1" x14ac:dyDescent="0.2">
      <c r="B22" s="1" t="s">
        <v>57</v>
      </c>
      <c r="C22" s="56">
        <v>26200.657999999999</v>
      </c>
      <c r="D22" s="56">
        <v>45701.849000000002</v>
      </c>
      <c r="E22" s="56">
        <v>4206.2820000000002</v>
      </c>
      <c r="F22" s="56">
        <v>7468.8469999999998</v>
      </c>
      <c r="G22" s="6">
        <f t="shared" si="5"/>
        <v>83577.635999999999</v>
      </c>
      <c r="K22" s="1" t="s">
        <v>57</v>
      </c>
      <c r="L22" s="56">
        <v>47985.173699999999</v>
      </c>
      <c r="M22" s="56">
        <v>50612.1198</v>
      </c>
      <c r="N22" s="56">
        <v>5319.4125000000004</v>
      </c>
      <c r="O22" s="56">
        <v>17042.352500000001</v>
      </c>
      <c r="P22" s="6">
        <f t="shared" si="6"/>
        <v>120959.05850000001</v>
      </c>
    </row>
    <row r="23" spans="1:18" ht="15.75" customHeight="1" x14ac:dyDescent="0.2">
      <c r="B23" s="1" t="s">
        <v>58</v>
      </c>
      <c r="C23" s="56">
        <v>21385.227999999999</v>
      </c>
      <c r="D23" s="56">
        <v>33734.345999999998</v>
      </c>
      <c r="E23" s="56">
        <v>3177.0390000000002</v>
      </c>
      <c r="F23" s="56">
        <v>5623.8630000000003</v>
      </c>
      <c r="G23" s="6">
        <f t="shared" si="5"/>
        <v>63920.475999999988</v>
      </c>
      <c r="K23" s="1" t="s">
        <v>58</v>
      </c>
      <c r="L23" s="56">
        <v>28837.416099999999</v>
      </c>
      <c r="M23" s="56">
        <v>36989.5458</v>
      </c>
      <c r="N23" s="56">
        <v>3376.0967999999998</v>
      </c>
      <c r="O23" s="56">
        <v>9884.1522999999997</v>
      </c>
      <c r="P23" s="6">
        <f t="shared" si="6"/>
        <v>79087.210999999996</v>
      </c>
    </row>
    <row r="24" spans="1:18" ht="15.75" customHeight="1" x14ac:dyDescent="0.2">
      <c r="B24" s="1" t="s">
        <v>59</v>
      </c>
      <c r="C24" s="56">
        <v>15566.82</v>
      </c>
      <c r="D24" s="56">
        <v>24605.822</v>
      </c>
      <c r="E24" s="56">
        <v>2665.17</v>
      </c>
      <c r="F24" s="56">
        <v>4921.1670000000004</v>
      </c>
      <c r="G24" s="6">
        <f t="shared" si="5"/>
        <v>47758.978999999999</v>
      </c>
      <c r="K24" s="1" t="s">
        <v>59</v>
      </c>
      <c r="L24" s="56">
        <v>24592.974300000002</v>
      </c>
      <c r="M24" s="56">
        <v>33925.788399999998</v>
      </c>
      <c r="N24" s="56">
        <v>2395.5558000000001</v>
      </c>
      <c r="O24" s="56">
        <v>8706.6407999999992</v>
      </c>
      <c r="P24" s="6">
        <f t="shared" si="6"/>
        <v>69620.959300000002</v>
      </c>
    </row>
    <row r="25" spans="1:18" ht="15.75" customHeight="1" x14ac:dyDescent="0.2">
      <c r="B25" s="1" t="s">
        <v>60</v>
      </c>
      <c r="C25" s="56">
        <v>11861.199000000001</v>
      </c>
      <c r="D25" s="56">
        <v>20355.188999999998</v>
      </c>
      <c r="E25" s="56">
        <v>1972.1510000000001</v>
      </c>
      <c r="F25" s="56">
        <v>3772.027</v>
      </c>
      <c r="G25" s="6">
        <f t="shared" si="5"/>
        <v>37960.565999999999</v>
      </c>
      <c r="K25" s="1" t="s">
        <v>60</v>
      </c>
      <c r="L25" s="56">
        <v>23513.084500000001</v>
      </c>
      <c r="M25" s="56">
        <v>31300.877199999999</v>
      </c>
      <c r="N25" s="56">
        <v>2355.2548999999999</v>
      </c>
      <c r="O25" s="56">
        <v>6879.8948</v>
      </c>
      <c r="P25" s="6">
        <f t="shared" si="6"/>
        <v>64049.111400000002</v>
      </c>
    </row>
    <row r="26" spans="1:18" ht="15.75" customHeight="1" x14ac:dyDescent="0.2">
      <c r="B26" s="1" t="s">
        <v>188</v>
      </c>
      <c r="C26" s="6">
        <f>SUM(C19:C25)</f>
        <v>156378.72499999998</v>
      </c>
      <c r="D26" s="6">
        <f t="shared" ref="D26:F26" si="7">SUM(D19:D25)</f>
        <v>264532.68200000003</v>
      </c>
      <c r="E26" s="6">
        <f t="shared" si="7"/>
        <v>37735.906999999992</v>
      </c>
      <c r="F26" s="6">
        <f t="shared" si="7"/>
        <v>42471.170000000006</v>
      </c>
      <c r="G26" s="6">
        <f t="shared" si="5"/>
        <v>501118.484</v>
      </c>
      <c r="K26" s="1" t="s">
        <v>188</v>
      </c>
      <c r="L26" s="6">
        <f>SUM(L19:L25)</f>
        <v>235880.73329999999</v>
      </c>
      <c r="M26" s="6">
        <f t="shared" ref="M26" si="8">SUM(M19:M25)</f>
        <v>247023.55909999995</v>
      </c>
      <c r="N26" s="6">
        <f t="shared" ref="N26" si="9">SUM(N19:N25)</f>
        <v>26926.756300000001</v>
      </c>
      <c r="O26" s="6">
        <f t="shared" ref="O26" si="10">SUM(O19:O25)</f>
        <v>82982.631699999984</v>
      </c>
      <c r="P26" s="6">
        <f t="shared" si="6"/>
        <v>592813.68039999995</v>
      </c>
    </row>
    <row r="27" spans="1:18" ht="15.75" customHeight="1" x14ac:dyDescent="0.2">
      <c r="C27" s="6"/>
      <c r="D27" s="6"/>
      <c r="E27" s="6"/>
      <c r="F27" s="6"/>
      <c r="G27" s="6"/>
      <c r="L27" s="6"/>
      <c r="M27" s="6"/>
      <c r="N27" s="6"/>
      <c r="O27" s="6"/>
      <c r="P27" s="6"/>
    </row>
    <row r="28" spans="1:18" ht="15.75" customHeight="1" x14ac:dyDescent="0.2">
      <c r="A28" s="1" t="s">
        <v>42</v>
      </c>
      <c r="B28" s="1" t="s">
        <v>180</v>
      </c>
      <c r="C28" s="1" t="s">
        <v>45</v>
      </c>
      <c r="D28" s="1" t="s">
        <v>181</v>
      </c>
      <c r="E28" s="1" t="s">
        <v>110</v>
      </c>
      <c r="F28" s="1" t="s">
        <v>72</v>
      </c>
      <c r="G28" s="1" t="s">
        <v>182</v>
      </c>
      <c r="H28" s="1" t="s">
        <v>183</v>
      </c>
      <c r="I28" s="1" t="s">
        <v>184</v>
      </c>
      <c r="J28" s="1" t="s">
        <v>42</v>
      </c>
      <c r="K28" s="1" t="s">
        <v>180</v>
      </c>
      <c r="L28" s="1" t="s">
        <v>45</v>
      </c>
      <c r="M28" s="1" t="s">
        <v>181</v>
      </c>
      <c r="N28" s="1" t="s">
        <v>110</v>
      </c>
      <c r="O28" s="1" t="s">
        <v>72</v>
      </c>
      <c r="P28" s="1" t="s">
        <v>182</v>
      </c>
      <c r="Q28" s="1" t="s">
        <v>183</v>
      </c>
      <c r="R28" s="1" t="s">
        <v>184</v>
      </c>
    </row>
    <row r="29" spans="1:18" ht="15.75" customHeight="1" x14ac:dyDescent="0.2">
      <c r="B29" s="1" t="s">
        <v>174</v>
      </c>
      <c r="K29" s="1" t="s">
        <v>174</v>
      </c>
    </row>
    <row r="30" spans="1:18" ht="15.75" customHeight="1" x14ac:dyDescent="0.2">
      <c r="A30" s="1" t="s">
        <v>48</v>
      </c>
      <c r="C30" s="1" t="s">
        <v>175</v>
      </c>
      <c r="D30" s="1" t="s">
        <v>176</v>
      </c>
      <c r="E30" s="1" t="s">
        <v>177</v>
      </c>
      <c r="F30" s="1" t="s">
        <v>178</v>
      </c>
      <c r="G30" s="1" t="s">
        <v>188</v>
      </c>
      <c r="J30" s="1" t="s">
        <v>48</v>
      </c>
      <c r="L30" s="1" t="s">
        <v>175</v>
      </c>
      <c r="M30" s="1" t="s">
        <v>176</v>
      </c>
      <c r="N30" s="1" t="s">
        <v>177</v>
      </c>
      <c r="O30" s="1" t="s">
        <v>178</v>
      </c>
      <c r="P30" s="1" t="s">
        <v>188</v>
      </c>
    </row>
    <row r="31" spans="1:18" ht="15.75" customHeight="1" x14ac:dyDescent="0.2">
      <c r="B31" s="1" t="s">
        <v>54</v>
      </c>
      <c r="C31" s="56">
        <v>15503.61</v>
      </c>
      <c r="D31" s="56">
        <v>17333.87</v>
      </c>
      <c r="E31" s="56">
        <v>10099.36</v>
      </c>
      <c r="F31" s="56">
        <v>3025.88</v>
      </c>
      <c r="G31" s="6">
        <f>SUM(C31:F31)</f>
        <v>45962.719999999994</v>
      </c>
      <c r="K31" s="1" t="s">
        <v>54</v>
      </c>
      <c r="L31" s="56">
        <v>6530.2335999999996</v>
      </c>
      <c r="M31" s="56">
        <v>4072.5237999999999</v>
      </c>
      <c r="N31" s="56">
        <v>873.02359999999999</v>
      </c>
      <c r="O31" s="56">
        <v>1254.2995000000001</v>
      </c>
      <c r="P31" s="6">
        <f>SUM(L31:O31)</f>
        <v>12730.0805</v>
      </c>
    </row>
    <row r="32" spans="1:18" ht="15.75" customHeight="1" x14ac:dyDescent="0.2">
      <c r="B32" s="1" t="s">
        <v>55</v>
      </c>
      <c r="C32" s="56">
        <v>49903.19</v>
      </c>
      <c r="D32" s="56">
        <v>91467.21</v>
      </c>
      <c r="E32" s="56">
        <v>15652.61</v>
      </c>
      <c r="F32" s="56">
        <v>11902.72</v>
      </c>
      <c r="G32" s="6">
        <f t="shared" ref="G32:G38" si="11">SUM(C32:F32)</f>
        <v>168925.73</v>
      </c>
      <c r="K32" s="1" t="s">
        <v>55</v>
      </c>
      <c r="L32" s="56">
        <v>52835.5383</v>
      </c>
      <c r="M32" s="56">
        <v>43930.978300000002</v>
      </c>
      <c r="N32" s="56">
        <v>5627.5604000000003</v>
      </c>
      <c r="O32" s="56">
        <v>18172.722099999999</v>
      </c>
      <c r="P32" s="6">
        <f t="shared" ref="P32:P38" si="12">SUM(L32:O32)</f>
        <v>120566.7991</v>
      </c>
    </row>
    <row r="33" spans="2:16" ht="15.75" customHeight="1" x14ac:dyDescent="0.2">
      <c r="B33" s="1" t="s">
        <v>56</v>
      </c>
      <c r="C33" s="56">
        <v>72723.56</v>
      </c>
      <c r="D33" s="56">
        <v>133881.38</v>
      </c>
      <c r="E33" s="56">
        <v>14921.33</v>
      </c>
      <c r="F33" s="56">
        <v>20198.169999999998</v>
      </c>
      <c r="G33" s="6">
        <f t="shared" si="11"/>
        <v>241724.44</v>
      </c>
      <c r="K33" s="1" t="s">
        <v>56</v>
      </c>
      <c r="L33" s="56">
        <v>109576.0809</v>
      </c>
      <c r="M33" s="56">
        <v>109988.29240000001</v>
      </c>
      <c r="N33" s="56">
        <v>11481.472299999999</v>
      </c>
      <c r="O33" s="56">
        <v>43504.488499999999</v>
      </c>
      <c r="P33" s="6">
        <f t="shared" si="12"/>
        <v>274550.33409999998</v>
      </c>
    </row>
    <row r="34" spans="2:16" ht="15.75" customHeight="1" x14ac:dyDescent="0.2">
      <c r="B34" s="1" t="s">
        <v>57</v>
      </c>
      <c r="C34" s="56">
        <v>92983.7</v>
      </c>
      <c r="D34" s="56">
        <v>168356.79</v>
      </c>
      <c r="E34" s="56">
        <v>17436.29</v>
      </c>
      <c r="F34" s="56">
        <v>28478.080000000002</v>
      </c>
      <c r="G34" s="6">
        <f t="shared" si="11"/>
        <v>307254.86</v>
      </c>
      <c r="K34" s="1" t="s">
        <v>57</v>
      </c>
      <c r="L34" s="56">
        <v>132276.63699999999</v>
      </c>
      <c r="M34" s="56">
        <v>163435.7868</v>
      </c>
      <c r="N34" s="56">
        <v>11581.0982</v>
      </c>
      <c r="O34" s="56">
        <v>50935.161099999998</v>
      </c>
      <c r="P34" s="6">
        <f t="shared" si="12"/>
        <v>358228.68310000002</v>
      </c>
    </row>
    <row r="35" spans="2:16" ht="15.75" customHeight="1" x14ac:dyDescent="0.2">
      <c r="B35" s="1" t="s">
        <v>58</v>
      </c>
      <c r="C35" s="56">
        <v>108539.86</v>
      </c>
      <c r="D35" s="56">
        <v>181423.15</v>
      </c>
      <c r="E35" s="56">
        <v>19238.310000000001</v>
      </c>
      <c r="F35" s="56">
        <v>33229.75</v>
      </c>
      <c r="G35" s="6">
        <f t="shared" si="11"/>
        <v>342431.07</v>
      </c>
      <c r="K35" s="1" t="s">
        <v>58</v>
      </c>
      <c r="L35" s="56">
        <v>132336.94330000001</v>
      </c>
      <c r="M35" s="56">
        <v>179842.01389999999</v>
      </c>
      <c r="N35" s="56">
        <v>11012.287899999999</v>
      </c>
      <c r="O35" s="56">
        <v>47852.557000000001</v>
      </c>
      <c r="P35" s="6">
        <f t="shared" si="12"/>
        <v>371043.80209999997</v>
      </c>
    </row>
    <row r="36" spans="2:16" ht="15.75" customHeight="1" x14ac:dyDescent="0.2">
      <c r="B36" s="1" t="s">
        <v>59</v>
      </c>
      <c r="C36" s="56">
        <v>97889.13</v>
      </c>
      <c r="D36" s="56">
        <v>164823.15</v>
      </c>
      <c r="E36" s="56">
        <v>18005.37</v>
      </c>
      <c r="F36" s="56">
        <v>33209.339999999997</v>
      </c>
      <c r="G36" s="6">
        <f t="shared" si="11"/>
        <v>313926.99</v>
      </c>
      <c r="K36" s="1" t="s">
        <v>59</v>
      </c>
      <c r="L36" s="56">
        <v>142696.50349999999</v>
      </c>
      <c r="M36" s="56">
        <v>197418.9118</v>
      </c>
      <c r="N36" s="56">
        <v>11615.487300000001</v>
      </c>
      <c r="O36" s="56">
        <v>48388.262499999997</v>
      </c>
      <c r="P36" s="6">
        <f t="shared" si="12"/>
        <v>400119.16509999998</v>
      </c>
    </row>
    <row r="37" spans="2:16" ht="15.75" customHeight="1" x14ac:dyDescent="0.2">
      <c r="B37" s="1" t="s">
        <v>60</v>
      </c>
      <c r="C37" s="56">
        <v>71493.05</v>
      </c>
      <c r="D37" s="56">
        <v>138796.67000000001</v>
      </c>
      <c r="E37" s="56">
        <v>14100.14</v>
      </c>
      <c r="F37" s="56">
        <v>25082.28</v>
      </c>
      <c r="G37" s="6">
        <f t="shared" si="11"/>
        <v>249472.14000000004</v>
      </c>
      <c r="K37" s="1" t="s">
        <v>60</v>
      </c>
      <c r="L37" s="56">
        <v>146847.7971</v>
      </c>
      <c r="M37" s="56">
        <v>197686.10639999999</v>
      </c>
      <c r="N37" s="56">
        <v>12599.6291</v>
      </c>
      <c r="O37" s="56">
        <v>48061.835099999997</v>
      </c>
      <c r="P37" s="6">
        <f t="shared" si="12"/>
        <v>405195.36770000006</v>
      </c>
    </row>
    <row r="38" spans="2:16" ht="15.75" customHeight="1" x14ac:dyDescent="0.2">
      <c r="B38" s="1" t="s">
        <v>188</v>
      </c>
      <c r="C38" s="6">
        <f>SUM(C31:C37)</f>
        <v>509036.1</v>
      </c>
      <c r="D38" s="6">
        <f t="shared" ref="D38" si="13">SUM(D31:D37)</f>
        <v>896082.22000000009</v>
      </c>
      <c r="E38" s="6">
        <f t="shared" ref="E38" si="14">SUM(E31:E37)</f>
        <v>109453.41</v>
      </c>
      <c r="F38" s="6">
        <f t="shared" ref="F38" si="15">SUM(F31:F37)</f>
        <v>155126.22</v>
      </c>
      <c r="G38" s="6">
        <f t="shared" si="11"/>
        <v>1669697.95</v>
      </c>
      <c r="K38" s="1" t="s">
        <v>188</v>
      </c>
      <c r="L38" s="6">
        <f>SUM(L31:L37)</f>
        <v>723099.73369999998</v>
      </c>
      <c r="M38" s="6">
        <f t="shared" ref="M38" si="16">SUM(M31:M37)</f>
        <v>896374.61339999991</v>
      </c>
      <c r="N38" s="6">
        <f t="shared" ref="N38" si="17">SUM(N31:N37)</f>
        <v>64790.558799999999</v>
      </c>
      <c r="O38" s="6">
        <f t="shared" ref="O38" si="18">SUM(O31:O37)</f>
        <v>258169.32580000002</v>
      </c>
      <c r="P38" s="6">
        <f t="shared" si="12"/>
        <v>1942434.2316999999</v>
      </c>
    </row>
    <row r="39" spans="2:16" ht="15.75" customHeight="1" x14ac:dyDescent="0.2"/>
    <row r="40" spans="2:16" ht="15.75" customHeight="1" x14ac:dyDescent="0.2"/>
    <row r="41" spans="2:16" ht="15.75" customHeight="1" x14ac:dyDescent="0.2">
      <c r="B41" s="35"/>
      <c r="C41" s="35" t="s">
        <v>194</v>
      </c>
      <c r="D41" s="35" t="s">
        <v>176</v>
      </c>
      <c r="E41" s="35" t="s">
        <v>177</v>
      </c>
      <c r="F41" s="35" t="s">
        <v>178</v>
      </c>
      <c r="G41" s="35" t="s">
        <v>188</v>
      </c>
      <c r="K41" s="35"/>
      <c r="L41" s="35" t="s">
        <v>175</v>
      </c>
      <c r="M41" s="35" t="s">
        <v>176</v>
      </c>
      <c r="N41" s="35" t="s">
        <v>177</v>
      </c>
      <c r="O41" s="35" t="s">
        <v>178</v>
      </c>
      <c r="P41" s="35" t="s">
        <v>188</v>
      </c>
    </row>
    <row r="42" spans="2:16" ht="15.75" customHeight="1" x14ac:dyDescent="0.2">
      <c r="B42" s="35" t="str">
        <f t="shared" ref="B42:B48" si="19">B31</f>
        <v>15-19</v>
      </c>
      <c r="C42" s="99">
        <f t="shared" ref="C42:G49" si="20">C19/C31</f>
        <v>0.90361283597820119</v>
      </c>
      <c r="D42" s="99">
        <f t="shared" si="20"/>
        <v>0.89704745679989528</v>
      </c>
      <c r="E42" s="99">
        <f t="shared" si="20"/>
        <v>0.89131776667036322</v>
      </c>
      <c r="F42" s="99">
        <f t="shared" si="20"/>
        <v>0.92038316126217823</v>
      </c>
      <c r="G42" s="99">
        <f t="shared" si="20"/>
        <v>0.89953930054618192</v>
      </c>
      <c r="K42" s="35" t="str">
        <f t="shared" ref="K42:K48" si="21">K31</f>
        <v>15-19</v>
      </c>
      <c r="L42" s="99">
        <f t="shared" ref="L42:P49" si="22">L19/L31</f>
        <v>0.91329979374704151</v>
      </c>
      <c r="M42" s="99">
        <f t="shared" si="22"/>
        <v>0.90609319459348525</v>
      </c>
      <c r="N42" s="99">
        <f t="shared" si="22"/>
        <v>0.95523637619876489</v>
      </c>
      <c r="O42" s="99">
        <f t="shared" si="22"/>
        <v>0.90611253532350122</v>
      </c>
      <c r="P42" s="99">
        <f t="shared" si="22"/>
        <v>0.91316213593464712</v>
      </c>
    </row>
    <row r="43" spans="2:16" ht="15.75" customHeight="1" x14ac:dyDescent="0.2">
      <c r="B43" s="35" t="str">
        <f t="shared" si="19"/>
        <v>20-24</v>
      </c>
      <c r="C43" s="99">
        <f t="shared" si="20"/>
        <v>0.66821704183640351</v>
      </c>
      <c r="D43" s="99">
        <f t="shared" si="20"/>
        <v>0.68786483156094946</v>
      </c>
      <c r="E43" s="99">
        <f t="shared" si="20"/>
        <v>0.65788446782996579</v>
      </c>
      <c r="F43" s="99">
        <f t="shared" si="20"/>
        <v>0.66603633455210243</v>
      </c>
      <c r="G43" s="99">
        <f t="shared" si="20"/>
        <v>0.67774454489555847</v>
      </c>
      <c r="K43" s="35" t="str">
        <f t="shared" si="21"/>
        <v>20-24</v>
      </c>
      <c r="L43" s="99">
        <f t="shared" si="22"/>
        <v>0.76952993209118115</v>
      </c>
      <c r="M43" s="99">
        <f t="shared" si="22"/>
        <v>0.74603901775617854</v>
      </c>
      <c r="N43" s="99">
        <f t="shared" si="22"/>
        <v>0.82493486875769462</v>
      </c>
      <c r="O43" s="99">
        <f t="shared" si="22"/>
        <v>0.76170690465794333</v>
      </c>
      <c r="P43" s="99">
        <f t="shared" si="22"/>
        <v>0.76237746615270297</v>
      </c>
    </row>
    <row r="44" spans="2:16" ht="15.75" customHeight="1" x14ac:dyDescent="0.2">
      <c r="B44" s="35" t="str">
        <f t="shared" si="19"/>
        <v>25-29</v>
      </c>
      <c r="C44" s="99">
        <f t="shared" si="20"/>
        <v>0.46765308243985854</v>
      </c>
      <c r="D44" s="99">
        <f t="shared" si="20"/>
        <v>0.46062488301211119</v>
      </c>
      <c r="E44" s="99">
        <f t="shared" si="20"/>
        <v>0.42998291707240577</v>
      </c>
      <c r="F44" s="99">
        <f t="shared" si="20"/>
        <v>0.49374042301852106</v>
      </c>
      <c r="G44" s="99">
        <f t="shared" si="20"/>
        <v>0.46361494104609369</v>
      </c>
      <c r="K44" s="35" t="str">
        <f t="shared" si="21"/>
        <v>25-29</v>
      </c>
      <c r="L44" s="99">
        <f t="shared" si="22"/>
        <v>0.58707607510354021</v>
      </c>
      <c r="M44" s="99">
        <f t="shared" si="22"/>
        <v>0.52488239102801093</v>
      </c>
      <c r="N44" s="99">
        <f t="shared" si="22"/>
        <v>0.69713372909500471</v>
      </c>
      <c r="O44" s="99">
        <f t="shared" si="22"/>
        <v>0.58593418240051254</v>
      </c>
      <c r="P44" s="99">
        <f t="shared" si="22"/>
        <v>0.56658208925486786</v>
      </c>
    </row>
    <row r="45" spans="2:16" ht="15.75" customHeight="1" x14ac:dyDescent="0.2">
      <c r="B45" s="35" t="str">
        <f t="shared" si="19"/>
        <v>30-34</v>
      </c>
      <c r="C45" s="99">
        <f t="shared" si="20"/>
        <v>0.28177689207893425</v>
      </c>
      <c r="D45" s="99">
        <f t="shared" si="20"/>
        <v>0.27145830589903741</v>
      </c>
      <c r="E45" s="99">
        <f t="shared" si="20"/>
        <v>0.2412372127327545</v>
      </c>
      <c r="F45" s="99">
        <f t="shared" si="20"/>
        <v>0.26226652218127061</v>
      </c>
      <c r="G45" s="99">
        <f t="shared" si="20"/>
        <v>0.27201404072176433</v>
      </c>
      <c r="K45" s="35" t="str">
        <f t="shared" si="21"/>
        <v>30-34</v>
      </c>
      <c r="L45" s="99">
        <f t="shared" si="22"/>
        <v>0.36276378647273899</v>
      </c>
      <c r="M45" s="99">
        <f t="shared" si="22"/>
        <v>0.3096758720410186</v>
      </c>
      <c r="N45" s="99">
        <f t="shared" si="22"/>
        <v>0.45931848673902104</v>
      </c>
      <c r="O45" s="99">
        <f t="shared" si="22"/>
        <v>0.33458915475973633</v>
      </c>
      <c r="P45" s="99">
        <f t="shared" si="22"/>
        <v>0.33765877554320273</v>
      </c>
    </row>
    <row r="46" spans="2:16" ht="15.75" customHeight="1" x14ac:dyDescent="0.2">
      <c r="B46" s="35" t="str">
        <f t="shared" si="19"/>
        <v>35-39</v>
      </c>
      <c r="C46" s="99">
        <f t="shared" si="20"/>
        <v>0.19702649330854122</v>
      </c>
      <c r="D46" s="99">
        <f t="shared" si="20"/>
        <v>0.18594289648261536</v>
      </c>
      <c r="E46" s="99">
        <f t="shared" si="20"/>
        <v>0.16514127280410806</v>
      </c>
      <c r="F46" s="99">
        <f t="shared" si="20"/>
        <v>0.1692418089212227</v>
      </c>
      <c r="G46" s="99">
        <f t="shared" si="20"/>
        <v>0.18666669470150588</v>
      </c>
      <c r="K46" s="35" t="str">
        <f t="shared" si="21"/>
        <v>35-39</v>
      </c>
      <c r="L46" s="99">
        <f t="shared" si="22"/>
        <v>0.21790903870756093</v>
      </c>
      <c r="M46" s="99">
        <f t="shared" si="22"/>
        <v>0.20567800036184983</v>
      </c>
      <c r="N46" s="99">
        <f t="shared" si="22"/>
        <v>0.30657542108030067</v>
      </c>
      <c r="O46" s="99">
        <f t="shared" si="22"/>
        <v>0.2065543185079953</v>
      </c>
      <c r="P46" s="99">
        <f t="shared" si="22"/>
        <v>0.21314791017230147</v>
      </c>
    </row>
    <row r="47" spans="2:16" ht="15.75" customHeight="1" x14ac:dyDescent="0.2">
      <c r="B47" s="35" t="str">
        <f t="shared" si="19"/>
        <v>40-44</v>
      </c>
      <c r="C47" s="99">
        <f t="shared" si="20"/>
        <v>0.15902501125508009</v>
      </c>
      <c r="D47" s="99">
        <f t="shared" si="20"/>
        <v>0.14928620160456829</v>
      </c>
      <c r="E47" s="99">
        <f t="shared" si="20"/>
        <v>0.14802084044926597</v>
      </c>
      <c r="F47" s="99">
        <f t="shared" si="20"/>
        <v>0.14818623315007165</v>
      </c>
      <c r="G47" s="99">
        <f t="shared" si="20"/>
        <v>0.15213403282081608</v>
      </c>
      <c r="K47" s="35" t="str">
        <f t="shared" si="21"/>
        <v>40-44</v>
      </c>
      <c r="L47" s="99">
        <f t="shared" si="22"/>
        <v>0.17234461739982299</v>
      </c>
      <c r="M47" s="99">
        <f t="shared" si="22"/>
        <v>0.17184669944067638</v>
      </c>
      <c r="N47" s="99">
        <f t="shared" si="22"/>
        <v>0.20623808008468142</v>
      </c>
      <c r="O47" s="99">
        <f t="shared" si="22"/>
        <v>0.17993290831635048</v>
      </c>
      <c r="P47" s="99">
        <f t="shared" si="22"/>
        <v>0.17400056126429223</v>
      </c>
    </row>
    <row r="48" spans="2:16" ht="15.75" customHeight="1" x14ac:dyDescent="0.2">
      <c r="B48" s="35" t="str">
        <f t="shared" si="19"/>
        <v>45-49</v>
      </c>
      <c r="C48" s="99">
        <f t="shared" si="20"/>
        <v>0.165907021731483</v>
      </c>
      <c r="D48" s="99">
        <f t="shared" si="20"/>
        <v>0.14665473602500692</v>
      </c>
      <c r="E48" s="99">
        <f t="shared" si="20"/>
        <v>0.13986747649314121</v>
      </c>
      <c r="F48" s="99">
        <f t="shared" si="20"/>
        <v>0.15038612917167021</v>
      </c>
      <c r="G48" s="99">
        <f t="shared" si="20"/>
        <v>0.15216354820221606</v>
      </c>
      <c r="K48" s="35" t="str">
        <f t="shared" si="21"/>
        <v>45-49</v>
      </c>
      <c r="L48" s="99">
        <f t="shared" si="22"/>
        <v>0.16011874174719914</v>
      </c>
      <c r="M48" s="99">
        <f t="shared" si="22"/>
        <v>0.15833625220310374</v>
      </c>
      <c r="N48" s="99">
        <f t="shared" si="22"/>
        <v>0.18693049464448122</v>
      </c>
      <c r="O48" s="99">
        <f t="shared" si="22"/>
        <v>0.14314673556857177</v>
      </c>
      <c r="P48" s="99">
        <f t="shared" si="22"/>
        <v>0.15806970292765268</v>
      </c>
    </row>
    <row r="49" spans="1:16" ht="15.75" customHeight="1" x14ac:dyDescent="0.2">
      <c r="B49" s="35">
        <v>2000</v>
      </c>
      <c r="C49" s="99">
        <f t="shared" si="20"/>
        <v>0.30720556950675992</v>
      </c>
      <c r="D49" s="99">
        <f t="shared" si="20"/>
        <v>0.2952102788067818</v>
      </c>
      <c r="E49" s="99">
        <f t="shared" si="20"/>
        <v>0.34476684646005995</v>
      </c>
      <c r="F49" s="99">
        <f t="shared" si="20"/>
        <v>0.27378459940556799</v>
      </c>
      <c r="G49" s="99">
        <f t="shared" si="20"/>
        <v>0.30012523163246385</v>
      </c>
      <c r="K49" s="35">
        <v>2010</v>
      </c>
      <c r="L49" s="99">
        <f t="shared" si="22"/>
        <v>0.32620774466757352</v>
      </c>
      <c r="M49" s="99">
        <f t="shared" si="22"/>
        <v>0.27558071748933799</v>
      </c>
      <c r="N49" s="99">
        <f t="shared" si="22"/>
        <v>0.41559691409853994</v>
      </c>
      <c r="O49" s="99">
        <f t="shared" si="22"/>
        <v>0.32142715422468665</v>
      </c>
      <c r="P49" s="99">
        <f t="shared" si="22"/>
        <v>0.3051911208757761</v>
      </c>
    </row>
    <row r="50" spans="1:16" ht="15.75" customHeight="1" x14ac:dyDescent="0.2">
      <c r="B50" s="35" t="s">
        <v>260</v>
      </c>
      <c r="C50" s="99">
        <f>SUM(C24:C25)/SUM(C36:C37)</f>
        <v>0.16192977915386378</v>
      </c>
      <c r="D50" s="99">
        <f t="shared" ref="D50:G50" si="23">SUM(D24:D25)/SUM(D36:D37)</f>
        <v>0.14808325424868507</v>
      </c>
      <c r="E50" s="99">
        <f t="shared" si="23"/>
        <v>0.1444400353708756</v>
      </c>
      <c r="F50" s="99">
        <f t="shared" si="23"/>
        <v>0.14913282561026783</v>
      </c>
      <c r="G50" s="99">
        <f t="shared" si="23"/>
        <v>0.15214710217958624</v>
      </c>
      <c r="K50" s="35" t="s">
        <v>260</v>
      </c>
      <c r="L50" s="99">
        <f>SUM(L24:L25)/SUM(L36:L37)</f>
        <v>0.16614403633680092</v>
      </c>
      <c r="M50" s="99">
        <f t="shared" ref="M50:P50" si="24">SUM(M24:M25)/SUM(M36:M37)</f>
        <v>0.16508690751931329</v>
      </c>
      <c r="N50" s="99">
        <f t="shared" si="24"/>
        <v>0.19619194149320712</v>
      </c>
      <c r="O50" s="99">
        <f t="shared" si="24"/>
        <v>0.16160207182620828</v>
      </c>
      <c r="P50" s="99">
        <f t="shared" si="24"/>
        <v>0.16598492297815889</v>
      </c>
    </row>
    <row r="51" spans="1:16" ht="15.75" customHeight="1" x14ac:dyDescent="0.2"/>
    <row r="52" spans="1:16" s="73" customFormat="1" ht="15" customHeight="1" x14ac:dyDescent="0.2"/>
    <row r="53" spans="1:16" ht="15.75" customHeight="1" x14ac:dyDescent="0.2"/>
    <row r="54" spans="1:16" ht="15.75" customHeight="1" x14ac:dyDescent="0.2">
      <c r="A54" s="1" t="s">
        <v>42</v>
      </c>
      <c r="B54" s="1" t="s">
        <v>212</v>
      </c>
      <c r="C54" s="1" t="s">
        <v>44</v>
      </c>
      <c r="D54" s="1" t="s">
        <v>45</v>
      </c>
      <c r="E54" s="1" t="s">
        <v>84</v>
      </c>
      <c r="H54" s="1" t="s">
        <v>42</v>
      </c>
      <c r="I54" s="1" t="s">
        <v>212</v>
      </c>
      <c r="J54" s="1" t="s">
        <v>44</v>
      </c>
      <c r="K54" s="1" t="s">
        <v>45</v>
      </c>
      <c r="L54" s="1" t="s">
        <v>86</v>
      </c>
    </row>
    <row r="55" spans="1:16" ht="15.75" customHeight="1" x14ac:dyDescent="0.2">
      <c r="B55" s="1" t="s">
        <v>213</v>
      </c>
      <c r="I55" s="1" t="s">
        <v>213</v>
      </c>
    </row>
    <row r="56" spans="1:16" ht="15.75" customHeight="1" x14ac:dyDescent="0.2">
      <c r="A56" s="1" t="s">
        <v>201</v>
      </c>
      <c r="B56" s="18"/>
      <c r="C56" s="18" t="s">
        <v>214</v>
      </c>
      <c r="D56" s="18" t="s">
        <v>215</v>
      </c>
      <c r="E56" s="18" t="s">
        <v>188</v>
      </c>
      <c r="H56" s="1" t="s">
        <v>201</v>
      </c>
      <c r="J56" s="1" t="s">
        <v>214</v>
      </c>
      <c r="K56" s="1" t="s">
        <v>215</v>
      </c>
      <c r="L56" s="18" t="s">
        <v>188</v>
      </c>
    </row>
    <row r="57" spans="1:16" ht="15.75" customHeight="1" x14ac:dyDescent="0.2">
      <c r="B57" s="18" t="s">
        <v>202</v>
      </c>
      <c r="C57" s="115">
        <v>16259248</v>
      </c>
      <c r="D57" s="115">
        <v>9377543</v>
      </c>
      <c r="E57" s="115">
        <f>SUM(C57:D57)</f>
        <v>25636791</v>
      </c>
      <c r="I57" s="1" t="s">
        <v>202</v>
      </c>
      <c r="J57" s="1">
        <v>13914225</v>
      </c>
      <c r="K57" s="1">
        <v>10161465</v>
      </c>
      <c r="L57" s="115">
        <f>SUM(J57:K57)</f>
        <v>24075690</v>
      </c>
    </row>
    <row r="58" spans="1:16" ht="15.75" customHeight="1" x14ac:dyDescent="0.2">
      <c r="B58" s="18" t="s">
        <v>203</v>
      </c>
      <c r="C58" s="115">
        <v>13661161</v>
      </c>
      <c r="D58" s="115">
        <v>7664872</v>
      </c>
      <c r="E58" s="115">
        <f>SUM(C58:D58)</f>
        <v>21326033</v>
      </c>
      <c r="I58" s="1" t="s">
        <v>203</v>
      </c>
      <c r="J58" s="1">
        <v>18910644</v>
      </c>
      <c r="K58" s="1">
        <v>10678172</v>
      </c>
      <c r="L58" s="115">
        <f>SUM(J58:K58)</f>
        <v>29588816</v>
      </c>
    </row>
    <row r="59" spans="1:16" ht="15.75" customHeight="1" x14ac:dyDescent="0.2">
      <c r="B59" s="18" t="s">
        <v>188</v>
      </c>
      <c r="C59" s="115">
        <f>SUM(C57:C58)</f>
        <v>29920409</v>
      </c>
      <c r="D59" s="115">
        <f>SUM(D57:D58)</f>
        <v>17042415</v>
      </c>
      <c r="E59" s="115">
        <f>SUM(C59:D59)</f>
        <v>46962824</v>
      </c>
      <c r="I59" s="18" t="s">
        <v>188</v>
      </c>
      <c r="J59" s="115">
        <f>SUM(J57:J58)</f>
        <v>32824869</v>
      </c>
      <c r="K59" s="115">
        <f>SUM(K57:K58)</f>
        <v>20839637</v>
      </c>
      <c r="L59" s="115">
        <f>SUM(J59:K59)</f>
        <v>53664506</v>
      </c>
    </row>
    <row r="60" spans="1:16" ht="15.75" customHeight="1" x14ac:dyDescent="0.2">
      <c r="B60" s="18"/>
      <c r="C60" s="115"/>
      <c r="D60" s="115"/>
      <c r="E60" s="115"/>
      <c r="I60" s="18"/>
      <c r="J60" s="115"/>
      <c r="K60" s="115"/>
      <c r="L60" s="115"/>
    </row>
    <row r="61" spans="1:16" ht="15.75" customHeight="1" x14ac:dyDescent="0.2">
      <c r="B61" s="18"/>
      <c r="C61" s="18"/>
      <c r="D61" s="18"/>
      <c r="E61" s="18"/>
    </row>
    <row r="62" spans="1:16" ht="15.75" customHeight="1" x14ac:dyDescent="0.2">
      <c r="B62" s="18" t="s">
        <v>202</v>
      </c>
      <c r="C62" s="98">
        <f>D57/E57</f>
        <v>0.36578458669027647</v>
      </c>
      <c r="D62" s="18"/>
      <c r="E62" s="18"/>
      <c r="I62" s="18" t="s">
        <v>202</v>
      </c>
      <c r="J62" s="98">
        <f>K57/L57</f>
        <v>0.42206329289004801</v>
      </c>
    </row>
    <row r="63" spans="1:16" ht="15.75" customHeight="1" x14ac:dyDescent="0.2">
      <c r="B63" s="18" t="s">
        <v>203</v>
      </c>
      <c r="C63" s="98">
        <f t="shared" ref="C63" si="25">D58/E58</f>
        <v>0.35941386754864346</v>
      </c>
      <c r="D63" s="18"/>
      <c r="E63" s="18"/>
      <c r="I63" s="18" t="s">
        <v>203</v>
      </c>
      <c r="J63" s="98">
        <f t="shared" ref="J63" si="26">K58/L58</f>
        <v>0.36088541021715775</v>
      </c>
    </row>
    <row r="64" spans="1:16" ht="15.75" customHeight="1" x14ac:dyDescent="0.2">
      <c r="B64" s="18" t="s">
        <v>216</v>
      </c>
      <c r="C64" s="19">
        <f>E11</f>
        <v>0.30012523417989695</v>
      </c>
      <c r="D64" s="18"/>
      <c r="E64" s="18"/>
      <c r="I64" s="18" t="s">
        <v>216</v>
      </c>
      <c r="J64" s="19">
        <f>N11</f>
        <v>0.30519112250812802</v>
      </c>
    </row>
    <row r="65" spans="1:12" ht="15.75" customHeight="1" x14ac:dyDescent="0.2"/>
    <row r="66" spans="1:12" ht="15.75" customHeight="1" x14ac:dyDescent="0.2">
      <c r="A66" s="1" t="s">
        <v>42</v>
      </c>
      <c r="B66" s="1" t="s">
        <v>217</v>
      </c>
      <c r="C66" s="1" t="s">
        <v>44</v>
      </c>
      <c r="D66" s="1" t="s">
        <v>45</v>
      </c>
      <c r="E66" s="1" t="s">
        <v>84</v>
      </c>
      <c r="H66" s="1" t="s">
        <v>42</v>
      </c>
      <c r="I66" s="1" t="s">
        <v>217</v>
      </c>
      <c r="J66" s="1" t="s">
        <v>44</v>
      </c>
      <c r="K66" s="1" t="s">
        <v>45</v>
      </c>
      <c r="L66" s="1" t="s">
        <v>86</v>
      </c>
    </row>
    <row r="67" spans="1:12" ht="15.75" customHeight="1" x14ac:dyDescent="0.2">
      <c r="B67" s="1" t="s">
        <v>213</v>
      </c>
      <c r="I67" s="1" t="s">
        <v>213</v>
      </c>
    </row>
    <row r="68" spans="1:12" ht="15.75" customHeight="1" x14ac:dyDescent="0.2">
      <c r="A68" s="1" t="s">
        <v>206</v>
      </c>
      <c r="C68" s="1" t="s">
        <v>214</v>
      </c>
      <c r="D68" s="1" t="s">
        <v>215</v>
      </c>
      <c r="H68" s="1" t="s">
        <v>206</v>
      </c>
      <c r="J68" s="1" t="s">
        <v>214</v>
      </c>
      <c r="K68" s="1" t="s">
        <v>215</v>
      </c>
    </row>
    <row r="69" spans="1:12" ht="15.75" customHeight="1" x14ac:dyDescent="0.2">
      <c r="B69" s="1" t="s">
        <v>207</v>
      </c>
      <c r="C69" s="1">
        <v>2496320.327</v>
      </c>
      <c r="D69" s="1">
        <v>688112.27300000004</v>
      </c>
      <c r="E69" s="90">
        <f>D69/SUM(C69:D69)</f>
        <v>0.21608630466853029</v>
      </c>
      <c r="I69" s="1" t="s">
        <v>207</v>
      </c>
      <c r="J69" s="1">
        <v>3387898.93</v>
      </c>
      <c r="K69" s="1">
        <v>1124461.51</v>
      </c>
      <c r="L69" s="90">
        <f>K69/SUM(J69:K69)</f>
        <v>0.24919585324615601</v>
      </c>
    </row>
    <row r="70" spans="1:12" ht="15.75" customHeight="1" x14ac:dyDescent="0.2">
      <c r="B70" s="1" t="s">
        <v>208</v>
      </c>
      <c r="C70" s="1">
        <v>308958.72100000002</v>
      </c>
      <c r="D70" s="1">
        <v>86261.921000000002</v>
      </c>
      <c r="E70" s="90">
        <f t="shared" ref="E70:E76" si="27">D70/SUM(C70:D70)</f>
        <v>0.21826269135001305</v>
      </c>
      <c r="I70" s="1" t="s">
        <v>208</v>
      </c>
      <c r="J70" s="1">
        <v>305994.26</v>
      </c>
      <c r="K70" s="1">
        <v>98917.19</v>
      </c>
      <c r="L70" s="90">
        <f t="shared" ref="L70:L76" si="28">K70/SUM(J70:K70)</f>
        <v>0.24429338809757048</v>
      </c>
    </row>
    <row r="71" spans="1:12" ht="15.75" customHeight="1" x14ac:dyDescent="0.2">
      <c r="B71" s="1" t="s">
        <v>209</v>
      </c>
      <c r="C71" s="1">
        <v>4942037.2039999999</v>
      </c>
      <c r="D71" s="1">
        <v>3542454.926</v>
      </c>
      <c r="E71" s="90">
        <f t="shared" si="27"/>
        <v>0.41752115173451171</v>
      </c>
      <c r="I71" s="1" t="s">
        <v>209</v>
      </c>
      <c r="J71" s="1">
        <v>8236306.21</v>
      </c>
      <c r="K71" s="1">
        <v>5968476.3700000001</v>
      </c>
      <c r="L71" s="90">
        <f t="shared" si="28"/>
        <v>0.42017372222250515</v>
      </c>
    </row>
    <row r="72" spans="1:12" ht="15.75" customHeight="1" x14ac:dyDescent="0.2">
      <c r="B72" s="1" t="s">
        <v>210</v>
      </c>
      <c r="C72" s="1">
        <v>3712225.21</v>
      </c>
      <c r="D72" s="1">
        <v>2480176.4339999999</v>
      </c>
      <c r="E72" s="90">
        <f t="shared" si="27"/>
        <v>0.40051931004881053</v>
      </c>
      <c r="I72" s="1" t="s">
        <v>210</v>
      </c>
      <c r="J72" s="1">
        <v>4593424.5</v>
      </c>
      <c r="K72" s="1">
        <v>2459704.17</v>
      </c>
      <c r="L72" s="90">
        <f t="shared" si="28"/>
        <v>0.34873944388143424</v>
      </c>
    </row>
    <row r="73" spans="1:12" ht="15.75" customHeight="1" x14ac:dyDescent="0.2">
      <c r="B73" s="1" t="s">
        <v>88</v>
      </c>
      <c r="C73" s="1">
        <v>1168579.439</v>
      </c>
      <c r="D73" s="1">
        <v>501118.484</v>
      </c>
      <c r="E73" s="117">
        <f>D73/SUM(C73:D73)</f>
        <v>0.3001252364856658</v>
      </c>
      <c r="I73" s="1" t="s">
        <v>88</v>
      </c>
      <c r="J73" s="1">
        <v>1349620.55</v>
      </c>
      <c r="K73" s="1">
        <v>592813.68000000005</v>
      </c>
      <c r="L73" s="117">
        <f>K73/SUM(J73:K73)</f>
        <v>0.30519112093694933</v>
      </c>
    </row>
    <row r="74" spans="1:12" ht="15.75" customHeight="1" x14ac:dyDescent="0.2">
      <c r="B74" s="1" t="s">
        <v>91</v>
      </c>
      <c r="C74" s="1">
        <v>9938.4089999999997</v>
      </c>
      <c r="D74" s="1">
        <v>8941.384</v>
      </c>
      <c r="E74" s="90">
        <f t="shared" si="27"/>
        <v>0.47359544672973908</v>
      </c>
      <c r="I74" s="1" t="s">
        <v>91</v>
      </c>
      <c r="J74" s="1">
        <v>13868.16</v>
      </c>
      <c r="K74" s="1">
        <v>13801.9</v>
      </c>
      <c r="L74" s="90">
        <f t="shared" si="28"/>
        <v>0.49880267697287251</v>
      </c>
    </row>
    <row r="75" spans="1:12" ht="15.75" customHeight="1" x14ac:dyDescent="0.2">
      <c r="B75" s="1" t="s">
        <v>92</v>
      </c>
      <c r="C75" s="1">
        <v>311654.71600000001</v>
      </c>
      <c r="D75" s="1">
        <v>77152.619000000006</v>
      </c>
      <c r="E75" s="90">
        <f t="shared" si="27"/>
        <v>0.19843406246438228</v>
      </c>
      <c r="I75" s="1" t="s">
        <v>92</v>
      </c>
      <c r="J75" s="1">
        <v>676365.2</v>
      </c>
      <c r="K75" s="1">
        <v>196127.67</v>
      </c>
      <c r="L75" s="90">
        <f t="shared" si="28"/>
        <v>0.22478999742427697</v>
      </c>
    </row>
    <row r="76" spans="1:12" ht="15.75" customHeight="1" x14ac:dyDescent="0.2">
      <c r="B76" s="1" t="s">
        <v>93</v>
      </c>
      <c r="C76" s="1">
        <v>711447.03899999999</v>
      </c>
      <c r="D76" s="1">
        <v>280654.35100000002</v>
      </c>
      <c r="E76" s="90">
        <f t="shared" si="27"/>
        <v>0.28288877913980143</v>
      </c>
      <c r="I76" s="1" t="s">
        <v>93</v>
      </c>
      <c r="J76" s="1">
        <v>347166.42</v>
      </c>
      <c r="K76" s="1">
        <v>223869.17</v>
      </c>
      <c r="L76" s="90">
        <f t="shared" si="28"/>
        <v>0.39204066072309085</v>
      </c>
    </row>
    <row r="77" spans="1:12" ht="15.75" customHeight="1" x14ac:dyDescent="0.2">
      <c r="C77" s="1">
        <f>SUM(C69:C76)</f>
        <v>13661161.065000001</v>
      </c>
      <c r="D77" s="1">
        <f>SUM(D69:D76)</f>
        <v>7664872.3919999991</v>
      </c>
      <c r="E77" s="117">
        <f>D77/SUM(C77:D77)</f>
        <v>0.35941387822797871</v>
      </c>
      <c r="J77" s="1">
        <f>SUM(J69:J76)</f>
        <v>18910644.23</v>
      </c>
      <c r="K77" s="1">
        <f>SUM(K69:K76)</f>
        <v>10678171.66</v>
      </c>
      <c r="L77" s="117">
        <f>K77/SUM(J77:K77)</f>
        <v>0.36088540006796466</v>
      </c>
    </row>
    <row r="78" spans="1:12" ht="15.75" customHeight="1" x14ac:dyDescent="0.2"/>
    <row r="79" spans="1:12" ht="15.75" customHeight="1" x14ac:dyDescent="0.2"/>
    <row r="80" spans="1:12" s="73" customFormat="1" ht="15" customHeight="1" x14ac:dyDescent="0.2"/>
    <row r="81" spans="1:12" ht="15.75" customHeight="1" x14ac:dyDescent="0.2"/>
    <row r="82" spans="1:12" ht="15.75" customHeight="1" x14ac:dyDescent="0.2">
      <c r="A82" s="1" t="s">
        <v>42</v>
      </c>
      <c r="B82" s="1" t="s">
        <v>218</v>
      </c>
      <c r="C82" s="1" t="s">
        <v>44</v>
      </c>
      <c r="D82" s="1" t="s">
        <v>45</v>
      </c>
      <c r="E82" s="1" t="s">
        <v>84</v>
      </c>
      <c r="H82" s="1" t="s">
        <v>42</v>
      </c>
      <c r="I82" s="1" t="s">
        <v>218</v>
      </c>
      <c r="J82" s="1" t="s">
        <v>44</v>
      </c>
      <c r="K82" s="1" t="s">
        <v>45</v>
      </c>
      <c r="L82" s="1" t="s">
        <v>86</v>
      </c>
    </row>
    <row r="83" spans="1:12" ht="15.75" customHeight="1" x14ac:dyDescent="0.2">
      <c r="A83" s="1" t="s">
        <v>47</v>
      </c>
      <c r="B83" s="1" t="s">
        <v>47</v>
      </c>
      <c r="C83" s="1" t="s">
        <v>201</v>
      </c>
      <c r="D83" s="1" t="s">
        <v>45</v>
      </c>
      <c r="E83" s="1" t="s">
        <v>202</v>
      </c>
      <c r="H83" s="1" t="s">
        <v>47</v>
      </c>
      <c r="I83" s="1" t="s">
        <v>47</v>
      </c>
      <c r="J83" s="1" t="s">
        <v>201</v>
      </c>
      <c r="K83" s="1" t="s">
        <v>45</v>
      </c>
      <c r="L83" s="1" t="s">
        <v>202</v>
      </c>
    </row>
    <row r="84" spans="1:12" ht="15.75" customHeight="1" x14ac:dyDescent="0.2"/>
    <row r="85" spans="1:12" ht="15.75" customHeight="1" x14ac:dyDescent="0.2">
      <c r="B85" s="1" t="s">
        <v>213</v>
      </c>
      <c r="I85" s="1" t="s">
        <v>213</v>
      </c>
    </row>
    <row r="86" spans="1:12" ht="15.75" customHeight="1" x14ac:dyDescent="0.2">
      <c r="A86" s="1" t="s">
        <v>48</v>
      </c>
      <c r="C86" s="1" t="s">
        <v>214</v>
      </c>
      <c r="D86" s="1" t="s">
        <v>215</v>
      </c>
      <c r="H86" s="1" t="s">
        <v>48</v>
      </c>
      <c r="I86" s="1" t="s">
        <v>214</v>
      </c>
      <c r="J86" s="1" t="s">
        <v>215</v>
      </c>
    </row>
    <row r="87" spans="1:12" ht="15.75" customHeight="1" x14ac:dyDescent="0.2">
      <c r="B87" s="1" t="s">
        <v>54</v>
      </c>
      <c r="C87" s="6">
        <v>1055342.3</v>
      </c>
      <c r="D87" s="6">
        <v>5671376.5</v>
      </c>
      <c r="I87" s="1" t="s">
        <v>54</v>
      </c>
      <c r="J87" s="1">
        <v>749089.1</v>
      </c>
      <c r="K87" s="1">
        <v>5525438.5999999996</v>
      </c>
    </row>
    <row r="88" spans="1:12" ht="15.75" customHeight="1" x14ac:dyDescent="0.2">
      <c r="B88" s="1" t="s">
        <v>55</v>
      </c>
      <c r="C88" s="6">
        <v>2556259.7000000002</v>
      </c>
      <c r="D88" s="6">
        <v>1920175.5</v>
      </c>
      <c r="I88" s="1" t="s">
        <v>55</v>
      </c>
      <c r="J88" s="1">
        <v>1934787.8</v>
      </c>
      <c r="K88" s="1">
        <v>2159788.7000000002</v>
      </c>
    </row>
    <row r="89" spans="1:12" ht="15.75" customHeight="1" x14ac:dyDescent="0.2">
      <c r="B89" s="1" t="s">
        <v>56</v>
      </c>
      <c r="C89" s="6">
        <v>2806667.3</v>
      </c>
      <c r="D89" s="6">
        <v>716129.8</v>
      </c>
      <c r="I89" s="1" t="s">
        <v>56</v>
      </c>
      <c r="J89" s="1">
        <v>2396456.9</v>
      </c>
      <c r="K89" s="1">
        <v>988402.4</v>
      </c>
    </row>
    <row r="90" spans="1:12" ht="15.75" customHeight="1" x14ac:dyDescent="0.2">
      <c r="B90" s="1" t="s">
        <v>57</v>
      </c>
      <c r="C90" s="6">
        <v>2775777.4</v>
      </c>
      <c r="D90" s="6">
        <v>385733.6</v>
      </c>
      <c r="I90" s="1" t="s">
        <v>57</v>
      </c>
      <c r="J90" s="1">
        <v>2384957.7000000002</v>
      </c>
      <c r="K90" s="1">
        <v>533687.5</v>
      </c>
    </row>
    <row r="91" spans="1:12" ht="15.75" customHeight="1" x14ac:dyDescent="0.2">
      <c r="B91" s="1" t="s">
        <v>58</v>
      </c>
      <c r="C91" s="6">
        <v>2611644.2000000002</v>
      </c>
      <c r="D91" s="6">
        <v>272974.2</v>
      </c>
      <c r="I91" s="1" t="s">
        <v>58</v>
      </c>
      <c r="J91" s="1">
        <v>2183516.5</v>
      </c>
      <c r="K91" s="1">
        <v>354467.7</v>
      </c>
    </row>
    <row r="92" spans="1:12" ht="15.75" customHeight="1" x14ac:dyDescent="0.2">
      <c r="B92" s="1" t="s">
        <v>59</v>
      </c>
      <c r="C92" s="6">
        <v>2319924.9</v>
      </c>
      <c r="D92" s="6">
        <v>215204.9</v>
      </c>
      <c r="I92" s="1" t="s">
        <v>59</v>
      </c>
      <c r="J92" s="1">
        <v>2125580.2000000002</v>
      </c>
      <c r="K92" s="1">
        <v>309091.3</v>
      </c>
    </row>
    <row r="93" spans="1:12" ht="15.75" customHeight="1" x14ac:dyDescent="0.2">
      <c r="B93" s="1" t="s">
        <v>60</v>
      </c>
      <c r="C93" s="6">
        <v>2133632.2999999998</v>
      </c>
      <c r="D93" s="6">
        <v>195949</v>
      </c>
      <c r="I93" s="1" t="s">
        <v>60</v>
      </c>
      <c r="J93" s="1">
        <v>2139836.4</v>
      </c>
      <c r="K93" s="1">
        <v>290588.7</v>
      </c>
    </row>
    <row r="94" spans="1:12" ht="15.75" customHeight="1" x14ac:dyDescent="0.2"/>
    <row r="95" spans="1:12" ht="15.75" customHeight="1" x14ac:dyDescent="0.2">
      <c r="A95" s="1" t="s">
        <v>47</v>
      </c>
      <c r="B95" s="1" t="s">
        <v>47</v>
      </c>
      <c r="C95" s="1" t="s">
        <v>201</v>
      </c>
      <c r="D95" s="1" t="s">
        <v>45</v>
      </c>
      <c r="E95" s="1" t="s">
        <v>203</v>
      </c>
      <c r="H95" s="1" t="s">
        <v>47</v>
      </c>
      <c r="I95" s="1" t="s">
        <v>47</v>
      </c>
      <c r="J95" s="1" t="s">
        <v>201</v>
      </c>
      <c r="K95" s="1" t="s">
        <v>45</v>
      </c>
      <c r="L95" s="1" t="s">
        <v>203</v>
      </c>
    </row>
    <row r="96" spans="1:12" ht="15.75" customHeight="1" x14ac:dyDescent="0.2"/>
    <row r="97" spans="1:12" ht="15.75" customHeight="1" x14ac:dyDescent="0.2">
      <c r="A97" s="18"/>
      <c r="B97" s="18" t="s">
        <v>213</v>
      </c>
      <c r="C97" s="18"/>
      <c r="D97" s="18"/>
      <c r="E97" s="18"/>
      <c r="F97" s="18"/>
      <c r="G97" s="18"/>
      <c r="H97" s="18"/>
      <c r="I97" s="18" t="s">
        <v>213</v>
      </c>
      <c r="J97" s="18"/>
      <c r="K97" s="18"/>
      <c r="L97" s="18"/>
    </row>
    <row r="98" spans="1:12" ht="15.75" customHeight="1" x14ac:dyDescent="0.2">
      <c r="A98" s="18" t="s">
        <v>48</v>
      </c>
      <c r="B98" s="18"/>
      <c r="C98" s="18" t="s">
        <v>214</v>
      </c>
      <c r="D98" s="18" t="s">
        <v>215</v>
      </c>
      <c r="E98" s="18" t="s">
        <v>173</v>
      </c>
      <c r="F98" s="18"/>
      <c r="G98" s="18"/>
      <c r="H98" s="18" t="s">
        <v>48</v>
      </c>
      <c r="I98" s="18"/>
      <c r="J98" s="18" t="s">
        <v>214</v>
      </c>
      <c r="K98" s="18" t="s">
        <v>215</v>
      </c>
      <c r="L98" s="18" t="s">
        <v>173</v>
      </c>
    </row>
    <row r="99" spans="1:12" ht="15.75" customHeight="1" x14ac:dyDescent="0.2">
      <c r="A99" s="18"/>
      <c r="B99" s="18" t="s">
        <v>54</v>
      </c>
      <c r="C99" s="18">
        <v>262070.2</v>
      </c>
      <c r="D99" s="18">
        <v>1932505.8</v>
      </c>
      <c r="E99" s="116">
        <f>D99/SUM(C99:D99)</f>
        <v>0.88058276405100577</v>
      </c>
      <c r="F99" s="18"/>
      <c r="G99" s="18"/>
      <c r="H99" s="18"/>
      <c r="I99" s="18" t="s">
        <v>54</v>
      </c>
      <c r="J99" s="18">
        <v>247335.8</v>
      </c>
      <c r="K99" s="18">
        <v>1907316.4</v>
      </c>
      <c r="L99" s="116">
        <f>K99/SUM(J99:K99)</f>
        <v>0.88520848051486001</v>
      </c>
    </row>
    <row r="100" spans="1:12" ht="15.75" customHeight="1" x14ac:dyDescent="0.2">
      <c r="A100" s="18"/>
      <c r="B100" s="18" t="s">
        <v>55</v>
      </c>
      <c r="C100" s="18">
        <v>1272456.8999999999</v>
      </c>
      <c r="D100" s="18">
        <v>2345583.4</v>
      </c>
      <c r="E100" s="116">
        <f t="shared" ref="E100:E107" si="29">D100/SUM(C100:D100)</f>
        <v>0.64830217618084574</v>
      </c>
      <c r="F100" s="18"/>
      <c r="G100" s="18"/>
      <c r="H100" s="18"/>
      <c r="I100" s="18" t="s">
        <v>55</v>
      </c>
      <c r="J100" s="18">
        <v>1449726.9</v>
      </c>
      <c r="K100" s="18">
        <v>3068895.1</v>
      </c>
      <c r="L100" s="116">
        <f t="shared" ref="L100:L105" si="30">K100/SUM(J100:K100)</f>
        <v>0.67916614844083001</v>
      </c>
    </row>
    <row r="101" spans="1:12" ht="15.75" customHeight="1" x14ac:dyDescent="0.2">
      <c r="A101" s="18"/>
      <c r="B101" s="18" t="s">
        <v>56</v>
      </c>
      <c r="C101" s="18">
        <v>2063687</v>
      </c>
      <c r="D101" s="18">
        <v>1446708.3</v>
      </c>
      <c r="E101" s="116">
        <f t="shared" si="29"/>
        <v>0.41212119330264602</v>
      </c>
      <c r="F101" s="18"/>
      <c r="G101" s="18"/>
      <c r="H101" s="18"/>
      <c r="I101" s="18" t="s">
        <v>56</v>
      </c>
      <c r="J101" s="18">
        <v>2801320.1</v>
      </c>
      <c r="K101" s="18">
        <v>2457948</v>
      </c>
      <c r="L101" s="116">
        <f t="shared" si="30"/>
        <v>0.46735552424110116</v>
      </c>
    </row>
    <row r="102" spans="1:12" ht="15.75" customHeight="1" x14ac:dyDescent="0.2">
      <c r="A102" s="18"/>
      <c r="B102" s="18" t="s">
        <v>57</v>
      </c>
      <c r="C102" s="18">
        <v>2680785.6</v>
      </c>
      <c r="D102" s="18">
        <v>822220.5</v>
      </c>
      <c r="E102" s="116">
        <f t="shared" si="29"/>
        <v>0.23471854645071841</v>
      </c>
      <c r="F102" s="18"/>
      <c r="G102" s="18"/>
      <c r="H102" s="18"/>
      <c r="I102" s="18" t="s">
        <v>57</v>
      </c>
      <c r="J102" s="18">
        <v>3711479.9</v>
      </c>
      <c r="K102" s="18">
        <v>1396410.3</v>
      </c>
      <c r="L102" s="116">
        <f t="shared" si="30"/>
        <v>0.27338299088731388</v>
      </c>
    </row>
    <row r="103" spans="1:12" ht="15.75" customHeight="1" x14ac:dyDescent="0.2">
      <c r="A103" s="18"/>
      <c r="B103" s="18" t="s">
        <v>58</v>
      </c>
      <c r="C103" s="18">
        <v>2897533.6</v>
      </c>
      <c r="D103" s="18">
        <v>522626.3</v>
      </c>
      <c r="E103" s="116">
        <f t="shared" si="29"/>
        <v>0.15280756317855199</v>
      </c>
      <c r="F103" s="18"/>
      <c r="G103" s="18"/>
      <c r="H103" s="18"/>
      <c r="I103" s="18" t="s">
        <v>58</v>
      </c>
      <c r="J103" s="18">
        <v>3792523.7</v>
      </c>
      <c r="K103" s="18">
        <v>790506</v>
      </c>
      <c r="L103" s="116">
        <f t="shared" si="30"/>
        <v>0.17248546305514886</v>
      </c>
    </row>
    <row r="104" spans="1:12" ht="15.75" customHeight="1" x14ac:dyDescent="0.2">
      <c r="A104" s="18"/>
      <c r="B104" s="18" t="s">
        <v>59</v>
      </c>
      <c r="C104" s="18">
        <v>2550721.9</v>
      </c>
      <c r="D104" s="18">
        <v>348257.3</v>
      </c>
      <c r="E104" s="116">
        <f t="shared" si="29"/>
        <v>0.12013101025354028</v>
      </c>
      <c r="F104" s="18"/>
      <c r="G104" s="18"/>
      <c r="H104" s="18"/>
      <c r="I104" s="18" t="s">
        <v>59</v>
      </c>
      <c r="J104" s="18">
        <v>3665596.8</v>
      </c>
      <c r="K104" s="18">
        <v>588257.1</v>
      </c>
      <c r="L104" s="116">
        <f t="shared" si="30"/>
        <v>0.13828803570334186</v>
      </c>
    </row>
    <row r="105" spans="1:12" ht="15.75" customHeight="1" x14ac:dyDescent="0.2">
      <c r="A105" s="18"/>
      <c r="B105" s="18" t="s">
        <v>60</v>
      </c>
      <c r="C105" s="18">
        <v>1933905.9</v>
      </c>
      <c r="D105" s="18">
        <v>246970.8</v>
      </c>
      <c r="E105" s="116">
        <f t="shared" si="29"/>
        <v>0.11324381612220444</v>
      </c>
      <c r="F105" s="18"/>
      <c r="G105" s="18"/>
      <c r="H105" s="18"/>
      <c r="I105" s="18" t="s">
        <v>60</v>
      </c>
      <c r="J105" s="18">
        <v>3242661</v>
      </c>
      <c r="K105" s="18">
        <v>468838.7</v>
      </c>
      <c r="L105" s="116">
        <f t="shared" si="30"/>
        <v>0.12632055446481646</v>
      </c>
    </row>
    <row r="106" spans="1:12" ht="15.75" customHeight="1" x14ac:dyDescent="0.2">
      <c r="A106" s="18"/>
      <c r="B106" s="18"/>
      <c r="C106" s="18">
        <f>SUM(C99:C105)</f>
        <v>13661161.1</v>
      </c>
      <c r="D106" s="18">
        <f>SUM(D99:D105)</f>
        <v>7664872.3999999994</v>
      </c>
      <c r="E106" s="116">
        <f t="shared" si="29"/>
        <v>0.35941387787841556</v>
      </c>
      <c r="F106" s="18"/>
      <c r="G106" s="18"/>
      <c r="H106" s="18"/>
      <c r="I106" s="18"/>
      <c r="J106" s="18">
        <f>SUM(J99:J105)</f>
        <v>18910644.199999999</v>
      </c>
      <c r="K106" s="18">
        <f>SUM(K99:K105)</f>
        <v>10678171.6</v>
      </c>
      <c r="L106" s="116">
        <f t="shared" ref="L106:L107" si="31">K106/SUM(J106:K106)</f>
        <v>0.36088539913787293</v>
      </c>
    </row>
    <row r="107" spans="1:12" ht="15.75" customHeight="1" x14ac:dyDescent="0.2">
      <c r="A107" s="18"/>
      <c r="B107" s="123" t="s">
        <v>230</v>
      </c>
      <c r="C107" s="123">
        <f>SUM(C103:C105)</f>
        <v>7382161.4000000004</v>
      </c>
      <c r="D107" s="123">
        <f>SUM(D103:D105)</f>
        <v>1117854.3999999999</v>
      </c>
      <c r="E107" s="125">
        <f t="shared" si="29"/>
        <v>0.13151203789527072</v>
      </c>
      <c r="F107" s="18"/>
      <c r="G107" s="18"/>
      <c r="H107" s="18"/>
      <c r="I107" s="123" t="s">
        <v>230</v>
      </c>
      <c r="J107" s="123">
        <f>SUM(J103:J105)</f>
        <v>10700781.5</v>
      </c>
      <c r="K107" s="123">
        <f>SUM(K103:K105)</f>
        <v>1847601.8</v>
      </c>
      <c r="L107" s="125">
        <f t="shared" si="31"/>
        <v>0.14723823426719837</v>
      </c>
    </row>
    <row r="108" spans="1:12" ht="15.75" customHeight="1" x14ac:dyDescent="0.2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</row>
    <row r="109" spans="1:12" s="73" customFormat="1" ht="15.75" customHeight="1" x14ac:dyDescent="0.2"/>
    <row r="110" spans="1:12" ht="15.75" customHeight="1" x14ac:dyDescent="0.2"/>
    <row r="111" spans="1:12" ht="15.75" customHeight="1" x14ac:dyDescent="0.3">
      <c r="A111" s="118" t="s">
        <v>229</v>
      </c>
      <c r="B111"/>
      <c r="C111"/>
      <c r="D111"/>
      <c r="E111"/>
      <c r="F111"/>
      <c r="G111"/>
    </row>
    <row r="112" spans="1:12" ht="15.75" customHeight="1" x14ac:dyDescent="0.2">
      <c r="A112"/>
      <c r="B112"/>
      <c r="C112"/>
      <c r="D112"/>
      <c r="E112"/>
      <c r="F112"/>
      <c r="G112"/>
    </row>
    <row r="113" spans="1:7" ht="15.75" customHeight="1" x14ac:dyDescent="0.2">
      <c r="A113" s="119" t="s">
        <v>48</v>
      </c>
      <c r="B113" s="119" t="s">
        <v>188</v>
      </c>
      <c r="C113" s="119" t="s">
        <v>219</v>
      </c>
      <c r="D113" s="119" t="s">
        <v>220</v>
      </c>
      <c r="E113" s="119" t="s">
        <v>221</v>
      </c>
      <c r="F113" s="119" t="s">
        <v>222</v>
      </c>
      <c r="G113" s="119" t="s">
        <v>223</v>
      </c>
    </row>
    <row r="114" spans="1:7" ht="15.75" customHeight="1" x14ac:dyDescent="0.2">
      <c r="A114" t="s">
        <v>58</v>
      </c>
      <c r="B114" s="115">
        <v>2897533.6</v>
      </c>
      <c r="C114" s="115">
        <v>522626.3</v>
      </c>
      <c r="D114" s="120">
        <f>C114/B114</f>
        <v>0.18036936655367861</v>
      </c>
      <c r="E114">
        <v>3792523.7</v>
      </c>
      <c r="F114">
        <v>790506</v>
      </c>
      <c r="G114" s="120">
        <f>F114/E114</f>
        <v>0.20843798550289877</v>
      </c>
    </row>
    <row r="115" spans="1:7" ht="15.75" customHeight="1" x14ac:dyDescent="0.2">
      <c r="A115" t="s">
        <v>59</v>
      </c>
      <c r="B115" s="115">
        <v>2550721.9</v>
      </c>
      <c r="C115" s="115">
        <v>348257.3</v>
      </c>
      <c r="D115" s="120">
        <f t="shared" ref="D115:D117" si="32">C115/B115</f>
        <v>0.13653283801734717</v>
      </c>
      <c r="E115">
        <v>3665596.8</v>
      </c>
      <c r="F115">
        <v>588257.1</v>
      </c>
      <c r="G115" s="120">
        <f t="shared" ref="G115:G117" si="33">F115/E115</f>
        <v>0.16048057986082923</v>
      </c>
    </row>
    <row r="116" spans="1:7" ht="15.75" customHeight="1" x14ac:dyDescent="0.2">
      <c r="A116" t="s">
        <v>60</v>
      </c>
      <c r="B116" s="115">
        <v>1933905.9</v>
      </c>
      <c r="C116" s="115">
        <v>246970.8</v>
      </c>
      <c r="D116" s="120">
        <f t="shared" si="32"/>
        <v>0.12770569653880265</v>
      </c>
      <c r="E116">
        <v>3242661</v>
      </c>
      <c r="F116">
        <v>468838.7</v>
      </c>
      <c r="G116" s="120">
        <f t="shared" si="33"/>
        <v>0.14458455570903034</v>
      </c>
    </row>
    <row r="117" spans="1:7" ht="15" customHeight="1" x14ac:dyDescent="0.2">
      <c r="A117" t="s">
        <v>260</v>
      </c>
      <c r="B117" s="6">
        <f>SUM(C104:D105)</f>
        <v>5079855.8999999994</v>
      </c>
      <c r="C117" s="6">
        <f>SUM(D104:D105)</f>
        <v>595228.1</v>
      </c>
      <c r="D117" s="131">
        <f t="shared" si="32"/>
        <v>0.11717420960700874</v>
      </c>
      <c r="E117" s="1">
        <f>SUM(J104:K105)</f>
        <v>7965353.5999999996</v>
      </c>
      <c r="F117" s="1">
        <f>SUM(K104:K105)</f>
        <v>1057095.8</v>
      </c>
      <c r="G117" s="131">
        <f t="shared" si="33"/>
        <v>0.13271172292966379</v>
      </c>
    </row>
    <row r="118" spans="1:7" ht="15.75" customHeight="1" x14ac:dyDescent="0.2">
      <c r="A118"/>
      <c r="B118" s="115"/>
      <c r="C118" s="115"/>
      <c r="D118" s="120"/>
      <c r="E118"/>
      <c r="F118"/>
      <c r="G118" s="120"/>
    </row>
    <row r="119" spans="1:7" ht="15.75" customHeight="1" x14ac:dyDescent="0.2">
      <c r="A119" t="s">
        <v>224</v>
      </c>
      <c r="B119"/>
      <c r="C119"/>
      <c r="D119"/>
      <c r="E119"/>
      <c r="F119"/>
      <c r="G119"/>
    </row>
    <row r="120" spans="1:7" ht="15.75" customHeight="1" x14ac:dyDescent="0.2">
      <c r="A120"/>
      <c r="B120"/>
      <c r="C120"/>
      <c r="D120"/>
      <c r="E120"/>
      <c r="F120"/>
      <c r="G120"/>
    </row>
    <row r="121" spans="1:7" ht="15.75" customHeight="1" x14ac:dyDescent="0.2">
      <c r="A121"/>
      <c r="B121"/>
      <c r="C121"/>
      <c r="D121"/>
      <c r="E121"/>
      <c r="F121"/>
      <c r="G121"/>
    </row>
    <row r="122" spans="1:7" ht="15.75" customHeight="1" x14ac:dyDescent="0.2">
      <c r="A122"/>
      <c r="B122"/>
      <c r="C122"/>
      <c r="D122"/>
      <c r="E122"/>
      <c r="F122"/>
      <c r="G122"/>
    </row>
    <row r="123" spans="1:7" ht="15.75" customHeight="1" x14ac:dyDescent="0.3">
      <c r="A123" s="118" t="s">
        <v>225</v>
      </c>
      <c r="B123"/>
      <c r="C123"/>
      <c r="D123"/>
      <c r="E123"/>
      <c r="F123"/>
      <c r="G123"/>
    </row>
    <row r="124" spans="1:7" ht="15.75" customHeight="1" x14ac:dyDescent="0.2">
      <c r="A124"/>
      <c r="B124"/>
      <c r="C124"/>
      <c r="D124"/>
      <c r="E124"/>
      <c r="F124"/>
      <c r="G124"/>
    </row>
    <row r="125" spans="1:7" ht="15.75" customHeight="1" x14ac:dyDescent="0.2">
      <c r="A125" s="119" t="s">
        <v>48</v>
      </c>
      <c r="B125" s="119" t="s">
        <v>188</v>
      </c>
      <c r="C125" s="119" t="s">
        <v>226</v>
      </c>
      <c r="D125" s="121">
        <v>20</v>
      </c>
      <c r="E125" s="119" t="s">
        <v>227</v>
      </c>
      <c r="F125" s="119" t="s">
        <v>228</v>
      </c>
      <c r="G125" s="121">
        <v>20.100000000000001</v>
      </c>
    </row>
    <row r="126" spans="1:7" ht="15.75" customHeight="1" x14ac:dyDescent="0.2">
      <c r="A126" t="s">
        <v>58</v>
      </c>
      <c r="B126" s="61">
        <f>SUM(D8:D10)</f>
        <v>905830.1908000001</v>
      </c>
      <c r="C126">
        <v>342431</v>
      </c>
      <c r="D126" s="120">
        <f>B126/C126</f>
        <v>2.6452926014291935</v>
      </c>
      <c r="E126" s="61">
        <v>79087.210000000006</v>
      </c>
      <c r="F126" s="61">
        <v>371044</v>
      </c>
      <c r="G126" s="120">
        <f>E126/F126</f>
        <v>0.21314779379264995</v>
      </c>
    </row>
    <row r="127" spans="1:7" ht="15.75" customHeight="1" x14ac:dyDescent="0.2">
      <c r="A127" t="s">
        <v>59</v>
      </c>
      <c r="B127">
        <v>47759</v>
      </c>
      <c r="C127">
        <v>313927</v>
      </c>
      <c r="D127" s="120">
        <f t="shared" ref="D127:D128" si="34">B127/C127</f>
        <v>0.15213409486918933</v>
      </c>
      <c r="E127" s="61">
        <v>69620.960000000006</v>
      </c>
      <c r="F127" s="61">
        <v>400119</v>
      </c>
      <c r="G127" s="120">
        <f t="shared" ref="G127:G128" si="35">E127/F127</f>
        <v>0.1740006348111437</v>
      </c>
    </row>
    <row r="128" spans="1:7" ht="15.75" customHeight="1" x14ac:dyDescent="0.2">
      <c r="A128" t="s">
        <v>60</v>
      </c>
      <c r="B128">
        <v>37961</v>
      </c>
      <c r="C128">
        <v>249472</v>
      </c>
      <c r="D128" s="120">
        <f t="shared" si="34"/>
        <v>0.15216537326834273</v>
      </c>
      <c r="E128" s="61">
        <v>64049.11</v>
      </c>
      <c r="F128" s="61">
        <v>405195</v>
      </c>
      <c r="G128" s="120">
        <f t="shared" si="35"/>
        <v>0.15806984291513962</v>
      </c>
    </row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</sheetData>
  <pageMargins left="0.511811024" right="0.511811024" top="0.78740157499999996" bottom="0.78740157499999996" header="0" footer="0"/>
  <pageSetup orientation="landscape"/>
  <headerFooter>
    <oddFooter>&amp;L_x000D_&amp;1#&amp;"Calibri"&amp;10&amp;K000000 Classificação - Restrito | Classification - Restricted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D1767-EDBA-DB4A-89DD-6AA8A93976CC}">
  <dimension ref="A1:R94"/>
  <sheetViews>
    <sheetView workbookViewId="0">
      <selection activeCell="C91" sqref="C91:G94"/>
    </sheetView>
  </sheetViews>
  <sheetFormatPr baseColWidth="10" defaultRowHeight="16" x14ac:dyDescent="0.2"/>
  <cols>
    <col min="2" max="2" width="18.1640625" customWidth="1"/>
  </cols>
  <sheetData>
    <row r="1" spans="1:16" s="73" customFormat="1" ht="15.75" customHeight="1" x14ac:dyDescent="0.2">
      <c r="A1" s="74" t="s">
        <v>171</v>
      </c>
    </row>
    <row r="2" spans="1:16" s="1" customFormat="1" ht="15.75" customHeight="1" x14ac:dyDescent="0.2">
      <c r="A2" s="1" t="s">
        <v>42</v>
      </c>
      <c r="B2" s="1" t="s">
        <v>98</v>
      </c>
      <c r="C2" s="1" t="s">
        <v>47</v>
      </c>
      <c r="D2" s="1" t="s">
        <v>44</v>
      </c>
      <c r="E2" s="1" t="s">
        <v>45</v>
      </c>
      <c r="F2" s="1" t="s">
        <v>170</v>
      </c>
      <c r="J2" s="1" t="s">
        <v>42</v>
      </c>
      <c r="K2" s="1" t="s">
        <v>98</v>
      </c>
      <c r="L2" s="1" t="s">
        <v>47</v>
      </c>
      <c r="M2" s="1" t="s">
        <v>44</v>
      </c>
      <c r="N2" s="1" t="s">
        <v>45</v>
      </c>
      <c r="O2" s="1" t="s">
        <v>170</v>
      </c>
    </row>
    <row r="3" spans="1:16" s="1" customFormat="1" ht="15.75" customHeight="1" x14ac:dyDescent="0.2">
      <c r="B3" s="1" t="s">
        <v>48</v>
      </c>
      <c r="C3" s="1" t="s">
        <v>1</v>
      </c>
      <c r="D3" s="1" t="s">
        <v>89</v>
      </c>
      <c r="E3" s="32" t="s">
        <v>73</v>
      </c>
      <c r="F3" s="43" t="s">
        <v>75</v>
      </c>
      <c r="G3" s="25"/>
      <c r="K3" s="1" t="s">
        <v>48</v>
      </c>
      <c r="L3" s="1" t="s">
        <v>1</v>
      </c>
      <c r="M3" s="1" t="s">
        <v>89</v>
      </c>
      <c r="N3" s="32" t="s">
        <v>73</v>
      </c>
      <c r="O3" s="43" t="s">
        <v>75</v>
      </c>
      <c r="P3" s="25"/>
    </row>
    <row r="4" spans="1:16" s="1" customFormat="1" ht="15.75" customHeight="1" x14ac:dyDescent="0.2">
      <c r="A4" s="1">
        <v>1</v>
      </c>
      <c r="B4" s="1" t="s">
        <v>54</v>
      </c>
      <c r="C4" s="49">
        <v>3898.1179999999999</v>
      </c>
      <c r="D4" s="56">
        <v>45962.713799999998</v>
      </c>
      <c r="E4" s="45">
        <f t="shared" ref="E4:E10" si="0">C4/D4</f>
        <v>8.4810440413986179E-2</v>
      </c>
      <c r="F4" s="47">
        <v>17.5</v>
      </c>
      <c r="G4" s="48">
        <f t="shared" ref="G4:G10" si="1">F4*E4</f>
        <v>1.4841827072447582</v>
      </c>
      <c r="J4" s="1">
        <v>1</v>
      </c>
      <c r="K4" s="1" t="s">
        <v>54</v>
      </c>
      <c r="L4" s="49">
        <v>972.50699999999995</v>
      </c>
      <c r="M4" s="49">
        <v>12730.08</v>
      </c>
      <c r="N4" s="45">
        <f t="shared" ref="N4:N10" si="2">L4/M4</f>
        <v>7.6394413860714147E-2</v>
      </c>
      <c r="O4" s="47">
        <v>17.5</v>
      </c>
      <c r="P4" s="48">
        <f t="shared" ref="P4:P10" si="3">O4*N4</f>
        <v>1.3369022425624977</v>
      </c>
    </row>
    <row r="5" spans="1:16" s="1" customFormat="1" ht="15.75" customHeight="1" x14ac:dyDescent="0.2">
      <c r="A5" s="1">
        <v>2</v>
      </c>
      <c r="B5" s="1" t="s">
        <v>55</v>
      </c>
      <c r="C5" s="49">
        <v>37640.275000000001</v>
      </c>
      <c r="D5" s="56">
        <v>168925.723</v>
      </c>
      <c r="E5" s="45">
        <f t="shared" si="0"/>
        <v>0.22282145271623316</v>
      </c>
      <c r="F5" s="47">
        <v>22.5</v>
      </c>
      <c r="G5" s="48">
        <f t="shared" si="1"/>
        <v>5.0134826861152462</v>
      </c>
      <c r="J5" s="1">
        <v>2</v>
      </c>
      <c r="K5" s="1" t="s">
        <v>55</v>
      </c>
      <c r="L5" s="49">
        <v>21823.171999999999</v>
      </c>
      <c r="M5" s="49">
        <v>120566.8</v>
      </c>
      <c r="N5" s="45">
        <f t="shared" si="2"/>
        <v>0.18100482056420175</v>
      </c>
      <c r="O5" s="47">
        <v>22.5</v>
      </c>
      <c r="P5" s="48">
        <f t="shared" si="3"/>
        <v>4.0726084626945394</v>
      </c>
    </row>
    <row r="6" spans="1:16" s="1" customFormat="1" ht="15.75" customHeight="1" x14ac:dyDescent="0.2">
      <c r="A6" s="1">
        <v>3</v>
      </c>
      <c r="B6" s="1" t="s">
        <v>56</v>
      </c>
      <c r="C6" s="49">
        <v>65793.539000000004</v>
      </c>
      <c r="D6" s="56">
        <v>241724.43400000001</v>
      </c>
      <c r="E6" s="45">
        <f t="shared" si="0"/>
        <v>0.27218406476856205</v>
      </c>
      <c r="F6" s="47">
        <v>27.5</v>
      </c>
      <c r="G6" s="48">
        <f t="shared" si="1"/>
        <v>7.4850617811354567</v>
      </c>
      <c r="J6" s="1">
        <v>3</v>
      </c>
      <c r="K6" s="1" t="s">
        <v>56</v>
      </c>
      <c r="L6" s="49">
        <v>74569.967999999993</v>
      </c>
      <c r="M6" s="49">
        <v>274550.33</v>
      </c>
      <c r="N6" s="45">
        <f t="shared" si="2"/>
        <v>0.27160764294109568</v>
      </c>
      <c r="O6" s="47">
        <v>27.5</v>
      </c>
      <c r="P6" s="48">
        <f t="shared" si="3"/>
        <v>7.4692101808801317</v>
      </c>
    </row>
    <row r="7" spans="1:16" s="1" customFormat="1" ht="15.75" customHeight="1" x14ac:dyDescent="0.2">
      <c r="A7" s="1">
        <v>4</v>
      </c>
      <c r="B7" s="1" t="s">
        <v>57</v>
      </c>
      <c r="C7" s="49">
        <v>76978.841</v>
      </c>
      <c r="D7" s="56">
        <v>307254.86090000003</v>
      </c>
      <c r="E7" s="45">
        <f t="shared" si="0"/>
        <v>0.25053742282389385</v>
      </c>
      <c r="F7" s="47">
        <v>32.5</v>
      </c>
      <c r="G7" s="48">
        <f t="shared" si="1"/>
        <v>8.1424662417765497</v>
      </c>
      <c r="J7" s="1">
        <v>4</v>
      </c>
      <c r="K7" s="1" t="s">
        <v>57</v>
      </c>
      <c r="L7" s="49">
        <v>113349.42600000001</v>
      </c>
      <c r="M7" s="49">
        <v>358228.68</v>
      </c>
      <c r="N7" s="45">
        <f t="shared" si="2"/>
        <v>0.31641639078144163</v>
      </c>
      <c r="O7" s="47">
        <v>32.5</v>
      </c>
      <c r="P7" s="48">
        <f t="shared" si="3"/>
        <v>10.283532700396853</v>
      </c>
    </row>
    <row r="8" spans="1:16" s="1" customFormat="1" ht="15.75" customHeight="1" x14ac:dyDescent="0.2">
      <c r="A8" s="1">
        <v>5</v>
      </c>
      <c r="B8" s="1" t="s">
        <v>58</v>
      </c>
      <c r="C8" s="49">
        <v>66682.115999999995</v>
      </c>
      <c r="D8" s="56">
        <v>342431.07510000002</v>
      </c>
      <c r="E8" s="45">
        <f t="shared" si="0"/>
        <v>0.19473149736929349</v>
      </c>
      <c r="F8" s="47">
        <v>37.5</v>
      </c>
      <c r="G8" s="48">
        <f t="shared" si="1"/>
        <v>7.3024311513485056</v>
      </c>
      <c r="J8" s="1">
        <v>5</v>
      </c>
      <c r="K8" s="1" t="s">
        <v>58</v>
      </c>
      <c r="L8" s="49">
        <v>100246.982</v>
      </c>
      <c r="M8" s="49">
        <v>371043.8</v>
      </c>
      <c r="N8" s="45">
        <f t="shared" si="2"/>
        <v>0.27017560191007101</v>
      </c>
      <c r="O8" s="47">
        <v>37.5</v>
      </c>
      <c r="P8" s="48">
        <f t="shared" si="3"/>
        <v>10.131585071627663</v>
      </c>
    </row>
    <row r="9" spans="1:16" s="1" customFormat="1" ht="15.75" customHeight="1" x14ac:dyDescent="0.2">
      <c r="A9" s="1">
        <v>6</v>
      </c>
      <c r="B9" s="1" t="s">
        <v>59</v>
      </c>
      <c r="C9" s="49">
        <v>49192.591999999997</v>
      </c>
      <c r="D9" s="56">
        <v>313926.98790000001</v>
      </c>
      <c r="E9" s="45">
        <f t="shared" si="0"/>
        <v>0.15670074219827851</v>
      </c>
      <c r="F9" s="47">
        <v>42.5</v>
      </c>
      <c r="G9" s="48">
        <f t="shared" si="1"/>
        <v>6.6597815434268366</v>
      </c>
      <c r="J9" s="1">
        <v>6</v>
      </c>
      <c r="K9" s="1" t="s">
        <v>59</v>
      </c>
      <c r="L9" s="49">
        <v>87833.317999999999</v>
      </c>
      <c r="M9" s="49">
        <v>400119.16</v>
      </c>
      <c r="N9" s="45">
        <f t="shared" si="2"/>
        <v>0.21951790061740609</v>
      </c>
      <c r="O9" s="47">
        <v>42.5</v>
      </c>
      <c r="P9" s="48">
        <f t="shared" si="3"/>
        <v>9.3295107762397596</v>
      </c>
    </row>
    <row r="10" spans="1:16" s="1" customFormat="1" ht="15.75" customHeight="1" x14ac:dyDescent="0.2">
      <c r="A10" s="1">
        <v>7</v>
      </c>
      <c r="B10" s="1" t="s">
        <v>60</v>
      </c>
      <c r="C10" s="49">
        <v>32058.06</v>
      </c>
      <c r="D10" s="56">
        <v>249472.12779999999</v>
      </c>
      <c r="E10" s="45">
        <f t="shared" si="0"/>
        <v>0.12850357385695896</v>
      </c>
      <c r="F10" s="47">
        <v>47.5</v>
      </c>
      <c r="G10" s="48">
        <f t="shared" si="1"/>
        <v>6.1039197582055502</v>
      </c>
      <c r="J10" s="1">
        <v>7</v>
      </c>
      <c r="K10" s="1" t="s">
        <v>60</v>
      </c>
      <c r="L10" s="49">
        <v>75909.168999999994</v>
      </c>
      <c r="M10" s="49">
        <v>405195.37</v>
      </c>
      <c r="N10" s="45">
        <f t="shared" si="2"/>
        <v>0.18733967517940789</v>
      </c>
      <c r="O10" s="47">
        <v>47.5</v>
      </c>
      <c r="P10" s="48">
        <f t="shared" si="3"/>
        <v>8.8986345710218746</v>
      </c>
    </row>
    <row r="11" spans="1:16" s="1" customFormat="1" ht="15.75" customHeight="1" x14ac:dyDescent="0.2">
      <c r="E11" s="45"/>
      <c r="F11" s="25"/>
      <c r="G11" s="48">
        <f>SUM(G4:G10)/SUM(E4:E10)</f>
        <v>32.200010545544394</v>
      </c>
      <c r="N11" s="45"/>
      <c r="O11" s="25"/>
      <c r="P11" s="48">
        <f>SUM(P4:P10)/SUM(N4:N10)</f>
        <v>33.84135168248531</v>
      </c>
    </row>
    <row r="12" spans="1:16" s="1" customFormat="1" ht="15.75" customHeight="1" x14ac:dyDescent="0.2"/>
    <row r="13" spans="1:16" s="73" customFormat="1" ht="15.75" customHeight="1" x14ac:dyDescent="0.2">
      <c r="A13" s="74" t="s">
        <v>190</v>
      </c>
    </row>
    <row r="15" spans="1:16" x14ac:dyDescent="0.2">
      <c r="A15" t="s">
        <v>42</v>
      </c>
      <c r="B15" t="s">
        <v>189</v>
      </c>
      <c r="C15" t="s">
        <v>47</v>
      </c>
      <c r="D15" t="s">
        <v>44</v>
      </c>
      <c r="E15" t="s">
        <v>45</v>
      </c>
      <c r="F15" t="s">
        <v>101</v>
      </c>
      <c r="J15" t="s">
        <v>42</v>
      </c>
      <c r="K15" t="s">
        <v>189</v>
      </c>
      <c r="L15" t="s">
        <v>47</v>
      </c>
      <c r="M15" t="s">
        <v>44</v>
      </c>
      <c r="N15" t="s">
        <v>45</v>
      </c>
      <c r="O15" t="s">
        <v>101</v>
      </c>
    </row>
    <row r="16" spans="1:16" x14ac:dyDescent="0.2">
      <c r="B16" t="s">
        <v>174</v>
      </c>
      <c r="K16" t="s">
        <v>174</v>
      </c>
    </row>
    <row r="17" spans="1:18" x14ac:dyDescent="0.2">
      <c r="A17" t="s">
        <v>48</v>
      </c>
      <c r="C17" t="s">
        <v>175</v>
      </c>
      <c r="D17" t="s">
        <v>176</v>
      </c>
      <c r="E17" t="s">
        <v>177</v>
      </c>
      <c r="F17" t="s">
        <v>178</v>
      </c>
      <c r="J17" t="s">
        <v>48</v>
      </c>
      <c r="K17" t="s">
        <v>175</v>
      </c>
      <c r="L17" t="s">
        <v>176</v>
      </c>
      <c r="M17" t="s">
        <v>177</v>
      </c>
      <c r="N17" t="s">
        <v>178</v>
      </c>
    </row>
    <row r="18" spans="1:18" x14ac:dyDescent="0.2">
      <c r="B18" t="s">
        <v>54</v>
      </c>
      <c r="C18" s="49">
        <v>1241.2717</v>
      </c>
      <c r="D18" s="49">
        <v>1604.0766000000001</v>
      </c>
      <c r="E18" s="49">
        <v>856.54740000000004</v>
      </c>
      <c r="F18" s="49">
        <v>196.22210000000001</v>
      </c>
      <c r="K18" t="s">
        <v>54</v>
      </c>
      <c r="L18" s="49">
        <v>494.85516999999999</v>
      </c>
      <c r="M18" s="49">
        <v>329.94024999999999</v>
      </c>
      <c r="N18" s="49">
        <v>39.079729999999998</v>
      </c>
      <c r="O18" s="49">
        <v>108.63188</v>
      </c>
    </row>
    <row r="19" spans="1:18" x14ac:dyDescent="0.2">
      <c r="B19" t="s">
        <v>55</v>
      </c>
      <c r="C19" s="49">
        <v>11027.546899999999</v>
      </c>
      <c r="D19" s="49">
        <v>20425.5988</v>
      </c>
      <c r="E19" s="49">
        <v>3436.6341000000002</v>
      </c>
      <c r="F19" s="49">
        <v>2750.4953</v>
      </c>
      <c r="K19" t="s">
        <v>55</v>
      </c>
      <c r="L19" s="49">
        <v>9247.8169699999999</v>
      </c>
      <c r="M19" s="49">
        <v>8341.7509900000005</v>
      </c>
      <c r="N19" s="49">
        <v>651.61428999999998</v>
      </c>
      <c r="O19" s="49">
        <v>3581.98954</v>
      </c>
    </row>
    <row r="20" spans="1:18" x14ac:dyDescent="0.2">
      <c r="B20" t="s">
        <v>56</v>
      </c>
      <c r="C20" s="49">
        <v>19037.077700000002</v>
      </c>
      <c r="D20" s="49">
        <v>37850.188300000002</v>
      </c>
      <c r="E20" s="49">
        <v>3587.7813999999998</v>
      </c>
      <c r="F20" s="49">
        <v>5318.4912999999997</v>
      </c>
      <c r="K20" t="s">
        <v>56</v>
      </c>
      <c r="L20" s="49">
        <v>28121.904060000001</v>
      </c>
      <c r="M20" s="49">
        <v>32493.513749999998</v>
      </c>
      <c r="N20" s="49">
        <v>2144.4463300000002</v>
      </c>
      <c r="O20" s="49">
        <v>11810.103649999999</v>
      </c>
    </row>
    <row r="21" spans="1:18" x14ac:dyDescent="0.2">
      <c r="B21" t="s">
        <v>57</v>
      </c>
      <c r="C21" s="49">
        <v>23146.3017</v>
      </c>
      <c r="D21" s="49">
        <v>43284.283900000002</v>
      </c>
      <c r="E21" s="49">
        <v>3535.1149</v>
      </c>
      <c r="F21" s="49">
        <v>7013.1400999999996</v>
      </c>
      <c r="K21" t="s">
        <v>57</v>
      </c>
      <c r="L21" s="49">
        <v>40529.42239</v>
      </c>
      <c r="M21" s="49">
        <v>53161.83079</v>
      </c>
      <c r="N21" s="49">
        <v>3236.2169899999999</v>
      </c>
      <c r="O21" s="49">
        <v>16421.955559999999</v>
      </c>
    </row>
    <row r="22" spans="1:18" x14ac:dyDescent="0.2">
      <c r="B22" t="s">
        <v>58</v>
      </c>
      <c r="C22" s="49">
        <v>21294.742099999999</v>
      </c>
      <c r="D22" s="49">
        <v>34634.0164</v>
      </c>
      <c r="E22" s="49">
        <v>3454.3679999999999</v>
      </c>
      <c r="F22" s="49">
        <v>7298.9895999999999</v>
      </c>
      <c r="K22" t="s">
        <v>58</v>
      </c>
      <c r="L22" s="49">
        <v>36010.361689999998</v>
      </c>
      <c r="M22" s="49">
        <v>48691.95076</v>
      </c>
      <c r="N22" s="49">
        <v>2662.08347</v>
      </c>
      <c r="O22" s="49">
        <v>12882.586370000001</v>
      </c>
    </row>
    <row r="23" spans="1:18" x14ac:dyDescent="0.2">
      <c r="B23" t="s">
        <v>59</v>
      </c>
      <c r="C23" s="49">
        <v>16579.628000000001</v>
      </c>
      <c r="D23" s="49">
        <v>24339.333500000001</v>
      </c>
      <c r="E23" s="49">
        <v>2584.2937999999999</v>
      </c>
      <c r="F23" s="49">
        <v>5689.3370000000004</v>
      </c>
      <c r="K23" t="s">
        <v>59</v>
      </c>
      <c r="L23" s="49">
        <v>31949.80603</v>
      </c>
      <c r="M23" s="49">
        <v>42759.672420000003</v>
      </c>
      <c r="N23" s="49">
        <v>2405.2689599999999</v>
      </c>
      <c r="O23" s="49">
        <v>10718.570890000001</v>
      </c>
    </row>
    <row r="24" spans="1:18" x14ac:dyDescent="0.2">
      <c r="B24" t="s">
        <v>60</v>
      </c>
      <c r="C24" s="49">
        <v>10331.0602</v>
      </c>
      <c r="D24" s="49">
        <v>16592.802100000001</v>
      </c>
      <c r="E24" s="49">
        <v>1688.9735000000001</v>
      </c>
      <c r="F24" s="49">
        <v>3445.2239</v>
      </c>
      <c r="K24" t="s">
        <v>60</v>
      </c>
      <c r="L24" s="49">
        <v>29067.780170000002</v>
      </c>
      <c r="M24" s="49">
        <v>35424.918149999998</v>
      </c>
      <c r="N24" s="49">
        <v>2678.5346100000002</v>
      </c>
      <c r="O24" s="49">
        <v>8737.9362000000001</v>
      </c>
    </row>
    <row r="26" spans="1:18" x14ac:dyDescent="0.2">
      <c r="A26" t="s">
        <v>42</v>
      </c>
      <c r="B26" t="s">
        <v>180</v>
      </c>
      <c r="C26" t="s">
        <v>45</v>
      </c>
      <c r="D26" t="s">
        <v>181</v>
      </c>
      <c r="E26" t="s">
        <v>110</v>
      </c>
      <c r="F26" t="s">
        <v>72</v>
      </c>
      <c r="G26" t="s">
        <v>182</v>
      </c>
      <c r="H26" t="s">
        <v>183</v>
      </c>
      <c r="I26" t="s">
        <v>184</v>
      </c>
      <c r="J26" t="s">
        <v>42</v>
      </c>
      <c r="K26" t="s">
        <v>180</v>
      </c>
      <c r="L26" t="s">
        <v>45</v>
      </c>
      <c r="M26" t="s">
        <v>181</v>
      </c>
      <c r="N26" t="s">
        <v>110</v>
      </c>
      <c r="O26" t="s">
        <v>72</v>
      </c>
      <c r="P26" t="s">
        <v>182</v>
      </c>
      <c r="Q26" t="s">
        <v>183</v>
      </c>
      <c r="R26" t="s">
        <v>184</v>
      </c>
    </row>
    <row r="27" spans="1:18" x14ac:dyDescent="0.2">
      <c r="B27" t="s">
        <v>174</v>
      </c>
      <c r="K27" t="s">
        <v>174</v>
      </c>
    </row>
    <row r="28" spans="1:18" x14ac:dyDescent="0.2">
      <c r="A28" t="s">
        <v>48</v>
      </c>
      <c r="C28" t="s">
        <v>175</v>
      </c>
      <c r="D28" s="49" t="s">
        <v>176</v>
      </c>
      <c r="E28" t="s">
        <v>177</v>
      </c>
      <c r="F28" t="s">
        <v>178</v>
      </c>
      <c r="J28" t="s">
        <v>48</v>
      </c>
      <c r="K28" t="s">
        <v>175</v>
      </c>
      <c r="L28" t="s">
        <v>176</v>
      </c>
      <c r="M28" t="s">
        <v>177</v>
      </c>
      <c r="N28" t="s">
        <v>178</v>
      </c>
    </row>
    <row r="29" spans="1:18" x14ac:dyDescent="0.2">
      <c r="B29" t="s">
        <v>54</v>
      </c>
      <c r="C29" s="49">
        <v>15503.61</v>
      </c>
      <c r="D29" s="49">
        <v>17333.87</v>
      </c>
      <c r="E29" s="49">
        <v>10099.36</v>
      </c>
      <c r="F29" s="49">
        <v>3025.88</v>
      </c>
      <c r="K29" t="s">
        <v>54</v>
      </c>
      <c r="L29" s="49">
        <v>6530.2335999999996</v>
      </c>
      <c r="M29" s="49">
        <v>4072.5237999999999</v>
      </c>
      <c r="N29" s="49">
        <v>873.02359999999999</v>
      </c>
      <c r="O29" s="49">
        <v>1254.2995000000001</v>
      </c>
    </row>
    <row r="30" spans="1:18" x14ac:dyDescent="0.2">
      <c r="B30" t="s">
        <v>55</v>
      </c>
      <c r="C30" s="49">
        <v>49903.19</v>
      </c>
      <c r="D30" s="49">
        <v>91467.21</v>
      </c>
      <c r="E30" s="49">
        <v>15652.61</v>
      </c>
      <c r="F30" s="49">
        <v>11902.72</v>
      </c>
      <c r="K30" t="s">
        <v>55</v>
      </c>
      <c r="L30" s="49">
        <v>52835.5383</v>
      </c>
      <c r="M30" s="49">
        <v>43930.978300000002</v>
      </c>
      <c r="N30" s="49">
        <v>5627.5604000000003</v>
      </c>
      <c r="O30" s="49">
        <v>18172.722099999999</v>
      </c>
    </row>
    <row r="31" spans="1:18" x14ac:dyDescent="0.2">
      <c r="B31" t="s">
        <v>56</v>
      </c>
      <c r="C31" s="49">
        <v>72723.56</v>
      </c>
      <c r="D31" s="49">
        <v>133881.38</v>
      </c>
      <c r="E31" s="49">
        <v>14921.33</v>
      </c>
      <c r="F31" s="49">
        <v>20198.169999999998</v>
      </c>
      <c r="K31" t="s">
        <v>56</v>
      </c>
      <c r="L31" s="49">
        <v>109576.0809</v>
      </c>
      <c r="M31" s="49">
        <v>109988.29240000001</v>
      </c>
      <c r="N31" s="49">
        <v>11481.472299999999</v>
      </c>
      <c r="O31" s="49">
        <v>43504.488499999999</v>
      </c>
    </row>
    <row r="32" spans="1:18" x14ac:dyDescent="0.2">
      <c r="B32" t="s">
        <v>57</v>
      </c>
      <c r="C32" s="49">
        <v>92983.7</v>
      </c>
      <c r="D32" s="49">
        <v>168356.79</v>
      </c>
      <c r="E32" s="49">
        <v>17436.29</v>
      </c>
      <c r="F32" s="49">
        <v>28478.080000000002</v>
      </c>
      <c r="K32" t="s">
        <v>57</v>
      </c>
      <c r="L32" s="49">
        <v>132276.63699999999</v>
      </c>
      <c r="M32" s="49">
        <v>163435.7868</v>
      </c>
      <c r="N32" s="49">
        <v>11581.0982</v>
      </c>
      <c r="O32" s="49">
        <v>50935.161099999998</v>
      </c>
    </row>
    <row r="33" spans="2:15" x14ac:dyDescent="0.2">
      <c r="B33" t="s">
        <v>58</v>
      </c>
      <c r="C33" s="49">
        <v>108539.86</v>
      </c>
      <c r="D33" s="49">
        <v>181423.15</v>
      </c>
      <c r="E33" s="49">
        <v>19238.310000000001</v>
      </c>
      <c r="F33" s="49">
        <v>33229.75</v>
      </c>
      <c r="K33" t="s">
        <v>58</v>
      </c>
      <c r="L33" s="49">
        <v>132336.94330000001</v>
      </c>
      <c r="M33" s="49">
        <v>179842.01389999999</v>
      </c>
      <c r="N33" s="49">
        <v>11012.287899999999</v>
      </c>
      <c r="O33" s="49">
        <v>47852.557000000001</v>
      </c>
    </row>
    <row r="34" spans="2:15" x14ac:dyDescent="0.2">
      <c r="B34" t="s">
        <v>59</v>
      </c>
      <c r="C34" s="49">
        <v>97889.13</v>
      </c>
      <c r="D34" s="49">
        <v>164823.15</v>
      </c>
      <c r="E34" s="49">
        <v>18005.37</v>
      </c>
      <c r="F34" s="49">
        <v>33209.339999999997</v>
      </c>
      <c r="K34" t="s">
        <v>59</v>
      </c>
      <c r="L34" s="49">
        <v>142696.50349999999</v>
      </c>
      <c r="M34" s="49">
        <v>197418.9118</v>
      </c>
      <c r="N34" s="49">
        <v>11615.487300000001</v>
      </c>
      <c r="O34" s="49">
        <v>48388.262499999997</v>
      </c>
    </row>
    <row r="35" spans="2:15" x14ac:dyDescent="0.2">
      <c r="B35" t="s">
        <v>60</v>
      </c>
      <c r="C35" s="49">
        <v>71493.05</v>
      </c>
      <c r="D35" s="49">
        <v>138796.67000000001</v>
      </c>
      <c r="E35" s="49">
        <v>14100.14</v>
      </c>
      <c r="F35" s="49">
        <v>25082.28</v>
      </c>
      <c r="K35" t="s">
        <v>60</v>
      </c>
      <c r="L35" s="49">
        <v>146847.7971</v>
      </c>
      <c r="M35" s="49">
        <v>197686.10639999999</v>
      </c>
      <c r="N35" s="49">
        <v>12599.6291</v>
      </c>
      <c r="O35" s="49">
        <v>48061.835099999997</v>
      </c>
    </row>
    <row r="37" spans="2:15" x14ac:dyDescent="0.2">
      <c r="B37" s="91" t="s">
        <v>75</v>
      </c>
      <c r="C37" s="93" t="s">
        <v>175</v>
      </c>
      <c r="D37" s="94" t="s">
        <v>176</v>
      </c>
      <c r="E37" s="93" t="s">
        <v>177</v>
      </c>
      <c r="F37" s="93" t="s">
        <v>178</v>
      </c>
      <c r="K37" s="91" t="s">
        <v>75</v>
      </c>
      <c r="L37" s="93" t="s">
        <v>175</v>
      </c>
      <c r="M37" s="94" t="s">
        <v>176</v>
      </c>
      <c r="N37" s="93" t="s">
        <v>177</v>
      </c>
      <c r="O37" s="93" t="s">
        <v>178</v>
      </c>
    </row>
    <row r="38" spans="2:15" x14ac:dyDescent="0.2">
      <c r="B38" s="92">
        <v>17.5</v>
      </c>
      <c r="C38" s="95">
        <f>C18/C29</f>
        <v>8.0063398137595054E-2</v>
      </c>
      <c r="D38" s="95">
        <f t="shared" ref="D38:F38" si="4">D18/D29</f>
        <v>9.2540015587978919E-2</v>
      </c>
      <c r="E38" s="95">
        <f t="shared" si="4"/>
        <v>8.4812047496078957E-2</v>
      </c>
      <c r="F38" s="95">
        <f t="shared" si="4"/>
        <v>6.4847945060610465E-2</v>
      </c>
      <c r="K38" s="92">
        <v>17.5</v>
      </c>
      <c r="L38" s="95">
        <f>L18/L29</f>
        <v>7.5779091577979699E-2</v>
      </c>
      <c r="M38" s="95">
        <f t="shared" ref="M38:O38" si="5">M18/M29</f>
        <v>8.1016162508368891E-2</v>
      </c>
      <c r="N38" s="95">
        <f t="shared" si="5"/>
        <v>4.4763658164567371E-2</v>
      </c>
      <c r="O38" s="95">
        <f t="shared" si="5"/>
        <v>8.6607608469906894E-2</v>
      </c>
    </row>
    <row r="39" spans="2:15" x14ac:dyDescent="0.2">
      <c r="B39" s="92">
        <v>22.5</v>
      </c>
      <c r="C39" s="95">
        <f t="shared" ref="C39:F44" si="6">C19/C30</f>
        <v>0.22097879714703605</v>
      </c>
      <c r="D39" s="95">
        <f t="shared" si="6"/>
        <v>0.22331061371610655</v>
      </c>
      <c r="E39" s="95">
        <f t="shared" si="6"/>
        <v>0.21955661707536317</v>
      </c>
      <c r="F39" s="95">
        <f t="shared" si="6"/>
        <v>0.23108124025432844</v>
      </c>
      <c r="K39" s="92">
        <v>22.5</v>
      </c>
      <c r="L39" s="95">
        <f t="shared" ref="L39:O39" si="7">L19/L30</f>
        <v>0.17503024039408718</v>
      </c>
      <c r="M39" s="95">
        <f t="shared" si="7"/>
        <v>0.18988311466762853</v>
      </c>
      <c r="N39" s="95">
        <f t="shared" si="7"/>
        <v>0.11578983497005202</v>
      </c>
      <c r="O39" s="95">
        <f t="shared" si="7"/>
        <v>0.19710803479463324</v>
      </c>
    </row>
    <row r="40" spans="2:15" x14ac:dyDescent="0.2">
      <c r="B40" s="92">
        <v>27.5</v>
      </c>
      <c r="C40" s="95">
        <f t="shared" si="6"/>
        <v>0.26177318189593579</v>
      </c>
      <c r="D40" s="95">
        <f t="shared" si="6"/>
        <v>0.28271435729150685</v>
      </c>
      <c r="E40" s="95">
        <f t="shared" si="6"/>
        <v>0.24044648834922891</v>
      </c>
      <c r="F40" s="95">
        <f t="shared" si="6"/>
        <v>0.26331550333520315</v>
      </c>
      <c r="K40" s="92">
        <v>27.5</v>
      </c>
      <c r="L40" s="95">
        <f t="shared" ref="L40:O40" si="8">L20/L31</f>
        <v>0.25664272557497536</v>
      </c>
      <c r="M40" s="95">
        <f t="shared" si="8"/>
        <v>0.29542702264918513</v>
      </c>
      <c r="N40" s="95">
        <f t="shared" si="8"/>
        <v>0.18677450713354946</v>
      </c>
      <c r="O40" s="95">
        <f t="shared" si="8"/>
        <v>0.27146862443860242</v>
      </c>
    </row>
    <row r="41" spans="2:15" x14ac:dyDescent="0.2">
      <c r="B41" s="92">
        <v>32.5</v>
      </c>
      <c r="C41" s="95">
        <f t="shared" si="6"/>
        <v>0.24892859393635661</v>
      </c>
      <c r="D41" s="95">
        <f t="shared" si="6"/>
        <v>0.25709853401220112</v>
      </c>
      <c r="E41" s="95">
        <f t="shared" si="6"/>
        <v>0.20274467217510145</v>
      </c>
      <c r="F41" s="95">
        <f t="shared" si="6"/>
        <v>0.24626449887071036</v>
      </c>
      <c r="K41" s="92">
        <v>32.5</v>
      </c>
      <c r="L41" s="95">
        <f t="shared" ref="L41:O41" si="9">L21/L32</f>
        <v>0.30639894775976201</v>
      </c>
      <c r="M41" s="95">
        <f t="shared" si="9"/>
        <v>0.32527656170588459</v>
      </c>
      <c r="N41" s="95">
        <f t="shared" si="9"/>
        <v>0.27943956040369294</v>
      </c>
      <c r="O41" s="95">
        <f t="shared" si="9"/>
        <v>0.32240902365576302</v>
      </c>
    </row>
    <row r="42" spans="2:15" x14ac:dyDescent="0.2">
      <c r="B42" s="92">
        <v>37.5</v>
      </c>
      <c r="C42" s="95">
        <f t="shared" si="6"/>
        <v>0.19619282814626809</v>
      </c>
      <c r="D42" s="95">
        <f t="shared" si="6"/>
        <v>0.19090185789410008</v>
      </c>
      <c r="E42" s="95">
        <f t="shared" si="6"/>
        <v>0.17955672821573204</v>
      </c>
      <c r="F42" s="95">
        <f t="shared" si="6"/>
        <v>0.21965225738983893</v>
      </c>
      <c r="K42" s="92">
        <v>37.5</v>
      </c>
      <c r="L42" s="95">
        <f t="shared" ref="L42:O42" si="10">L22/L33</f>
        <v>0.2721111791766766</v>
      </c>
      <c r="M42" s="95">
        <f t="shared" si="10"/>
        <v>0.27074847364128635</v>
      </c>
      <c r="N42" s="95">
        <f t="shared" si="10"/>
        <v>0.24173754756266408</v>
      </c>
      <c r="O42" s="95">
        <f t="shared" si="10"/>
        <v>0.26921416905683848</v>
      </c>
    </row>
    <row r="43" spans="2:15" x14ac:dyDescent="0.2">
      <c r="B43" s="92">
        <v>42.5</v>
      </c>
      <c r="C43" s="95">
        <f t="shared" si="6"/>
        <v>0.16937149201346463</v>
      </c>
      <c r="D43" s="95">
        <f t="shared" si="6"/>
        <v>0.14766938685494119</v>
      </c>
      <c r="E43" s="95">
        <f t="shared" si="6"/>
        <v>0.14352905827539228</v>
      </c>
      <c r="F43" s="95">
        <f t="shared" si="6"/>
        <v>0.17131737637664587</v>
      </c>
      <c r="K43" s="92">
        <v>42.5</v>
      </c>
      <c r="L43" s="95">
        <f t="shared" ref="L43:O43" si="11">L23/L34</f>
        <v>0.22390041273856442</v>
      </c>
      <c r="M43" s="95">
        <f t="shared" si="11"/>
        <v>0.2165935979999663</v>
      </c>
      <c r="N43" s="95">
        <f t="shared" si="11"/>
        <v>0.20707430501000157</v>
      </c>
      <c r="O43" s="95">
        <f t="shared" si="11"/>
        <v>0.22151179513833549</v>
      </c>
    </row>
    <row r="44" spans="2:15" x14ac:dyDescent="0.2">
      <c r="B44" s="92">
        <v>47.5</v>
      </c>
      <c r="C44" s="95">
        <f t="shared" si="6"/>
        <v>0.14450439867931217</v>
      </c>
      <c r="D44" s="95">
        <f t="shared" si="6"/>
        <v>0.11954755182527073</v>
      </c>
      <c r="E44" s="95">
        <f t="shared" si="6"/>
        <v>0.11978416526360731</v>
      </c>
      <c r="F44" s="95">
        <f t="shared" si="6"/>
        <v>0.1373568870134613</v>
      </c>
      <c r="K44" s="92">
        <v>47.5</v>
      </c>
      <c r="L44" s="95">
        <f t="shared" ref="L44:O44" si="12">L24/L35</f>
        <v>0.19794495214800878</v>
      </c>
      <c r="M44" s="95">
        <f t="shared" si="12"/>
        <v>0.17919781412620306</v>
      </c>
      <c r="N44" s="95">
        <f t="shared" si="12"/>
        <v>0.21258836976399567</v>
      </c>
      <c r="O44" s="95">
        <f t="shared" si="12"/>
        <v>0.18180612916297073</v>
      </c>
    </row>
    <row r="46" spans="2:15" x14ac:dyDescent="0.2">
      <c r="B46" s="91" t="s">
        <v>75</v>
      </c>
      <c r="C46" s="93" t="s">
        <v>175</v>
      </c>
      <c r="D46" s="94" t="s">
        <v>176</v>
      </c>
      <c r="E46" s="93" t="s">
        <v>177</v>
      </c>
      <c r="F46" s="93" t="s">
        <v>178</v>
      </c>
      <c r="K46" s="91" t="s">
        <v>75</v>
      </c>
      <c r="L46" s="93" t="s">
        <v>175</v>
      </c>
      <c r="M46" s="94" t="s">
        <v>176</v>
      </c>
      <c r="N46" s="93" t="s">
        <v>177</v>
      </c>
      <c r="O46" s="93" t="s">
        <v>178</v>
      </c>
    </row>
    <row r="47" spans="2:15" x14ac:dyDescent="0.2">
      <c r="B47" s="92">
        <v>17.5</v>
      </c>
      <c r="C47" s="95">
        <f>C38*$B38</f>
        <v>1.4011094674079134</v>
      </c>
      <c r="D47" s="95">
        <f t="shared" ref="D47:F47" si="13">D38*$B38</f>
        <v>1.6194502727896312</v>
      </c>
      <c r="E47" s="95">
        <f t="shared" si="13"/>
        <v>1.4842108311813818</v>
      </c>
      <c r="F47" s="95">
        <f t="shared" si="13"/>
        <v>1.1348390385606832</v>
      </c>
      <c r="K47" s="92">
        <v>17.5</v>
      </c>
      <c r="L47" s="95">
        <f>L38*$B47</f>
        <v>1.3261341026146447</v>
      </c>
      <c r="M47" s="95">
        <f t="shared" ref="M47:O47" si="14">M38*$B47</f>
        <v>1.4177828438964557</v>
      </c>
      <c r="N47" s="95">
        <f t="shared" si="14"/>
        <v>0.78336401787992904</v>
      </c>
      <c r="O47" s="95">
        <f t="shared" si="14"/>
        <v>1.5156331482233707</v>
      </c>
    </row>
    <row r="48" spans="2:15" x14ac:dyDescent="0.2">
      <c r="B48" s="92">
        <v>22.5</v>
      </c>
      <c r="C48" s="95">
        <f>C39*$B39</f>
        <v>4.9720229358083117</v>
      </c>
      <c r="D48" s="95">
        <f t="shared" ref="D48:F48" si="15">D39*$B39</f>
        <v>5.0244888086123973</v>
      </c>
      <c r="E48" s="95">
        <f t="shared" si="15"/>
        <v>4.9400238841956714</v>
      </c>
      <c r="F48" s="95">
        <f t="shared" si="15"/>
        <v>5.1993279057223898</v>
      </c>
      <c r="K48" s="92">
        <v>22.5</v>
      </c>
      <c r="L48" s="95">
        <f t="shared" ref="L48:O53" si="16">L39*$B48</f>
        <v>3.9381804088669616</v>
      </c>
      <c r="M48" s="95">
        <f t="shared" si="16"/>
        <v>4.2723700800216422</v>
      </c>
      <c r="N48" s="95">
        <f t="shared" si="16"/>
        <v>2.6052712868261705</v>
      </c>
      <c r="O48" s="95">
        <f t="shared" si="16"/>
        <v>4.4349307828792481</v>
      </c>
    </row>
    <row r="49" spans="2:15" x14ac:dyDescent="0.2">
      <c r="B49" s="92">
        <v>27.5</v>
      </c>
      <c r="C49" s="95">
        <f t="shared" ref="C49:F53" si="17">C40*$B40</f>
        <v>7.1987625021382344</v>
      </c>
      <c r="D49" s="95">
        <f t="shared" si="17"/>
        <v>7.7746448255164387</v>
      </c>
      <c r="E49" s="95">
        <f t="shared" si="17"/>
        <v>6.6122784296037951</v>
      </c>
      <c r="F49" s="95">
        <f t="shared" si="17"/>
        <v>7.241176341718087</v>
      </c>
      <c r="K49" s="92">
        <v>27.5</v>
      </c>
      <c r="L49" s="95">
        <f t="shared" si="16"/>
        <v>7.0576749533118228</v>
      </c>
      <c r="M49" s="95">
        <f t="shared" si="16"/>
        <v>8.124243122852592</v>
      </c>
      <c r="N49" s="95">
        <f t="shared" si="16"/>
        <v>5.1362989461726096</v>
      </c>
      <c r="O49" s="95">
        <f t="shared" si="16"/>
        <v>7.4653871720615665</v>
      </c>
    </row>
    <row r="50" spans="2:15" x14ac:dyDescent="0.2">
      <c r="B50" s="92">
        <v>32.5</v>
      </c>
      <c r="C50" s="95">
        <f t="shared" si="17"/>
        <v>8.09017930293159</v>
      </c>
      <c r="D50" s="95">
        <f t="shared" si="17"/>
        <v>8.3557023553965362</v>
      </c>
      <c r="E50" s="95">
        <f t="shared" si="17"/>
        <v>6.5892018456907975</v>
      </c>
      <c r="F50" s="95">
        <f t="shared" si="17"/>
        <v>8.0035962132980867</v>
      </c>
      <c r="K50" s="92">
        <v>32.5</v>
      </c>
      <c r="L50" s="95">
        <f t="shared" si="16"/>
        <v>9.9579658021922661</v>
      </c>
      <c r="M50" s="95">
        <f t="shared" si="16"/>
        <v>10.571488255441249</v>
      </c>
      <c r="N50" s="95">
        <f t="shared" si="16"/>
        <v>9.0817857131200199</v>
      </c>
      <c r="O50" s="95">
        <f t="shared" si="16"/>
        <v>10.478293268812298</v>
      </c>
    </row>
    <row r="51" spans="2:15" x14ac:dyDescent="0.2">
      <c r="B51" s="92">
        <v>37.5</v>
      </c>
      <c r="C51" s="95">
        <f t="shared" si="17"/>
        <v>7.3572310554850535</v>
      </c>
      <c r="D51" s="95">
        <f t="shared" si="17"/>
        <v>7.1588196710287528</v>
      </c>
      <c r="E51" s="95">
        <f t="shared" si="17"/>
        <v>6.7333773080899517</v>
      </c>
      <c r="F51" s="95">
        <f t="shared" si="17"/>
        <v>8.2369596521189603</v>
      </c>
      <c r="K51" s="92">
        <v>37.5</v>
      </c>
      <c r="L51" s="95">
        <f t="shared" si="16"/>
        <v>10.204169219125372</v>
      </c>
      <c r="M51" s="95">
        <f t="shared" si="16"/>
        <v>10.153067761548238</v>
      </c>
      <c r="N51" s="95">
        <f t="shared" si="16"/>
        <v>9.0651580335999036</v>
      </c>
      <c r="O51" s="95">
        <f t="shared" si="16"/>
        <v>10.095531339631442</v>
      </c>
    </row>
    <row r="52" spans="2:15" x14ac:dyDescent="0.2">
      <c r="B52" s="92">
        <v>42.5</v>
      </c>
      <c r="C52" s="95">
        <f t="shared" si="17"/>
        <v>7.1982884105722471</v>
      </c>
      <c r="D52" s="95">
        <f t="shared" si="17"/>
        <v>6.2759489413350007</v>
      </c>
      <c r="E52" s="95">
        <f t="shared" si="17"/>
        <v>6.0999849767041718</v>
      </c>
      <c r="F52" s="95">
        <f t="shared" si="17"/>
        <v>7.28098849600745</v>
      </c>
      <c r="K52" s="92">
        <v>42.5</v>
      </c>
      <c r="L52" s="95">
        <f t="shared" si="16"/>
        <v>9.5157675413889873</v>
      </c>
      <c r="M52" s="95">
        <f t="shared" si="16"/>
        <v>9.2052279149985683</v>
      </c>
      <c r="N52" s="95">
        <f t="shared" si="16"/>
        <v>8.800657962925067</v>
      </c>
      <c r="O52" s="95">
        <f t="shared" si="16"/>
        <v>9.4142512933792588</v>
      </c>
    </row>
    <row r="53" spans="2:15" x14ac:dyDescent="0.2">
      <c r="B53" s="92">
        <v>47.5</v>
      </c>
      <c r="C53" s="95">
        <f t="shared" si="17"/>
        <v>6.863958937267328</v>
      </c>
      <c r="D53" s="95">
        <f t="shared" si="17"/>
        <v>5.6785087117003599</v>
      </c>
      <c r="E53" s="95">
        <f t="shared" si="17"/>
        <v>5.6897478500213472</v>
      </c>
      <c r="F53" s="95">
        <f t="shared" si="17"/>
        <v>6.5244521331394116</v>
      </c>
      <c r="K53" s="92">
        <v>47.5</v>
      </c>
      <c r="L53" s="95">
        <f t="shared" si="16"/>
        <v>9.4023852270304165</v>
      </c>
      <c r="M53" s="95">
        <f t="shared" si="16"/>
        <v>8.5118961709946461</v>
      </c>
      <c r="N53" s="95">
        <f t="shared" si="16"/>
        <v>10.097947563789795</v>
      </c>
      <c r="O53" s="95">
        <f t="shared" si="16"/>
        <v>8.6357911352411101</v>
      </c>
    </row>
    <row r="54" spans="2:15" x14ac:dyDescent="0.2">
      <c r="C54" s="97">
        <f>SUM(C47:C53)/SUM(C38:C44)</f>
        <v>32.592781820732704</v>
      </c>
      <c r="D54" s="97">
        <f t="shared" ref="D54:F54" si="18">SUM(D47:D53)/SUM(D38:D44)</f>
        <v>31.883184176372968</v>
      </c>
      <c r="E54" s="97">
        <f t="shared" si="18"/>
        <v>32.04626250732462</v>
      </c>
      <c r="F54" s="97">
        <f t="shared" si="18"/>
        <v>32.703682701773829</v>
      </c>
      <c r="L54" s="97">
        <f>SUM(L47:L53)/SUM(L38:L44)</f>
        <v>34.090741405297912</v>
      </c>
      <c r="M54" s="97">
        <f t="shared" ref="M54" si="19">SUM(M47:M53)/SUM(M38:M44)</f>
        <v>33.537412563998998</v>
      </c>
      <c r="N54" s="97">
        <f t="shared" ref="N54" si="20">SUM(N47:N53)/SUM(N38:N44)</f>
        <v>35.376201862371822</v>
      </c>
      <c r="O54" s="97">
        <f t="shared" ref="O54" si="21">SUM(O47:O53)/SUM(O38:O44)</f>
        <v>33.571360519153941</v>
      </c>
    </row>
    <row r="58" spans="2:15" x14ac:dyDescent="0.2">
      <c r="B58" s="101"/>
      <c r="C58" s="181" t="s">
        <v>197</v>
      </c>
      <c r="D58" s="181"/>
      <c r="E58" s="181" t="s">
        <v>171</v>
      </c>
      <c r="F58" s="181"/>
    </row>
    <row r="59" spans="2:15" x14ac:dyDescent="0.2">
      <c r="B59" s="101"/>
      <c r="C59" s="101">
        <v>2000</v>
      </c>
      <c r="D59" s="101">
        <v>2010</v>
      </c>
      <c r="E59" s="101">
        <v>2000</v>
      </c>
      <c r="F59" s="101">
        <v>2010</v>
      </c>
    </row>
    <row r="60" spans="2:15" x14ac:dyDescent="0.2">
      <c r="B60" s="93" t="s">
        <v>175</v>
      </c>
      <c r="C60" s="103">
        <f>parturição_area!P45</f>
        <v>2.1483064239768148</v>
      </c>
      <c r="D60" s="103">
        <f>parturição_area!AF45</f>
        <v>1.8285165491597288</v>
      </c>
      <c r="E60" s="104">
        <f>C54</f>
        <v>32.592781820732704</v>
      </c>
      <c r="F60" s="104">
        <f>L54</f>
        <v>34.090741405297912</v>
      </c>
    </row>
    <row r="61" spans="2:15" x14ac:dyDescent="0.2">
      <c r="B61" s="94" t="s">
        <v>176</v>
      </c>
      <c r="C61" s="103">
        <f>parturição_area!P55</f>
        <v>2.205214769624654</v>
      </c>
      <c r="D61" s="103">
        <f>parturição_area!AF55</f>
        <v>1.8588822156206821</v>
      </c>
      <c r="E61" s="104">
        <f>D54</f>
        <v>31.883184176372968</v>
      </c>
      <c r="F61" s="104">
        <f>M54</f>
        <v>33.537412563998998</v>
      </c>
    </row>
    <row r="62" spans="2:15" x14ac:dyDescent="0.2">
      <c r="B62" s="93" t="s">
        <v>178</v>
      </c>
      <c r="C62" s="103">
        <f>parturição_area!P75</f>
        <v>2.1897112565917833</v>
      </c>
      <c r="D62" s="103">
        <f>parturição_area!AF75</f>
        <v>1.927378411490293</v>
      </c>
      <c r="E62" s="104">
        <f>F54</f>
        <v>32.703682701773829</v>
      </c>
      <c r="F62" s="104">
        <f>O54</f>
        <v>33.571360519153941</v>
      </c>
    </row>
    <row r="63" spans="2:15" x14ac:dyDescent="0.2">
      <c r="B63" s="93" t="s">
        <v>177</v>
      </c>
      <c r="C63" s="103">
        <f>parturição_area!P65</f>
        <v>2.3856715656790404</v>
      </c>
      <c r="D63" s="103">
        <f>parturição_area!AF65</f>
        <v>1.7510906192271238</v>
      </c>
      <c r="E63" s="104">
        <f>E54</f>
        <v>32.04626250732462</v>
      </c>
      <c r="F63" s="104">
        <f>N54</f>
        <v>35.376201862371822</v>
      </c>
    </row>
    <row r="64" spans="2:15" x14ac:dyDescent="0.2">
      <c r="B64" s="101" t="s">
        <v>188</v>
      </c>
      <c r="C64" s="103">
        <f>parturição_area!P6</f>
        <v>2.1975467850240546</v>
      </c>
      <c r="D64" s="103">
        <f>parturição_area!AF6</f>
        <v>1.8526501352989366</v>
      </c>
      <c r="E64" s="104">
        <f>G11</f>
        <v>32.200010545544394</v>
      </c>
      <c r="F64" s="104">
        <f>P11</f>
        <v>33.84135168248531</v>
      </c>
    </row>
    <row r="66" spans="1:13" s="73" customFormat="1" ht="15.75" customHeight="1" x14ac:dyDescent="0.2">
      <c r="A66" s="74" t="s">
        <v>234</v>
      </c>
    </row>
    <row r="68" spans="1:13" x14ac:dyDescent="0.2">
      <c r="A68" t="s">
        <v>42</v>
      </c>
      <c r="B68" t="s">
        <v>232</v>
      </c>
      <c r="C68" t="s">
        <v>44</v>
      </c>
      <c r="D68" t="s">
        <v>45</v>
      </c>
      <c r="E68" t="s">
        <v>233</v>
      </c>
      <c r="I68" t="s">
        <v>42</v>
      </c>
      <c r="J68" t="s">
        <v>232</v>
      </c>
      <c r="K68" t="s">
        <v>44</v>
      </c>
      <c r="L68" t="s">
        <v>45</v>
      </c>
      <c r="M68" t="s">
        <v>233</v>
      </c>
    </row>
    <row r="69" spans="1:13" x14ac:dyDescent="0.2">
      <c r="A69" s="128"/>
      <c r="B69" s="128" t="s">
        <v>201</v>
      </c>
      <c r="C69" s="128"/>
      <c r="D69" s="128"/>
      <c r="J69" t="s">
        <v>201</v>
      </c>
    </row>
    <row r="70" spans="1:13" x14ac:dyDescent="0.2">
      <c r="A70" s="128" t="s">
        <v>48</v>
      </c>
      <c r="B70" s="128"/>
      <c r="C70" s="128" t="s">
        <v>202</v>
      </c>
      <c r="D70" s="128" t="s">
        <v>203</v>
      </c>
      <c r="I70" t="s">
        <v>48</v>
      </c>
      <c r="K70" t="s">
        <v>202</v>
      </c>
      <c r="L70" t="s">
        <v>203</v>
      </c>
    </row>
    <row r="71" spans="1:13" x14ac:dyDescent="0.2">
      <c r="A71" s="128"/>
      <c r="B71" s="128" t="s">
        <v>54</v>
      </c>
      <c r="C71" s="128">
        <v>823093.7</v>
      </c>
      <c r="D71" s="128">
        <v>213909.1</v>
      </c>
      <c r="J71" t="s">
        <v>54</v>
      </c>
      <c r="K71">
        <v>622807.9</v>
      </c>
      <c r="L71">
        <v>210332.6</v>
      </c>
    </row>
    <row r="72" spans="1:13" x14ac:dyDescent="0.2">
      <c r="A72" s="128"/>
      <c r="B72" s="128" t="s">
        <v>55</v>
      </c>
      <c r="C72" s="128">
        <v>1307285.6000000001</v>
      </c>
      <c r="D72" s="128">
        <v>810523.8</v>
      </c>
      <c r="J72" t="s">
        <v>55</v>
      </c>
      <c r="K72">
        <v>1147398.3999999999</v>
      </c>
      <c r="L72">
        <v>1016922.2</v>
      </c>
    </row>
    <row r="73" spans="1:13" x14ac:dyDescent="0.2">
      <c r="A73" s="128"/>
      <c r="B73" s="128" t="s">
        <v>56</v>
      </c>
      <c r="C73" s="128">
        <v>898785.4</v>
      </c>
      <c r="D73" s="128">
        <v>950413.6</v>
      </c>
      <c r="J73" t="s">
        <v>56</v>
      </c>
      <c r="K73">
        <v>959343.8</v>
      </c>
      <c r="L73">
        <v>1516732.3</v>
      </c>
    </row>
    <row r="74" spans="1:13" x14ac:dyDescent="0.2">
      <c r="A74" s="128"/>
      <c r="B74" s="128" t="s">
        <v>57</v>
      </c>
      <c r="C74" s="128">
        <v>560489.4</v>
      </c>
      <c r="D74" s="128">
        <v>811363</v>
      </c>
      <c r="J74" t="s">
        <v>57</v>
      </c>
      <c r="K74">
        <v>655321.69999999995</v>
      </c>
      <c r="L74">
        <v>1449193.9</v>
      </c>
    </row>
    <row r="75" spans="1:13" x14ac:dyDescent="0.2">
      <c r="A75" s="128"/>
      <c r="B75" s="128" t="s">
        <v>58</v>
      </c>
      <c r="C75" s="128">
        <v>364607.3</v>
      </c>
      <c r="D75" s="128">
        <v>589924</v>
      </c>
      <c r="J75" t="s">
        <v>58</v>
      </c>
      <c r="K75">
        <v>444132.2</v>
      </c>
      <c r="L75">
        <v>1071511</v>
      </c>
    </row>
    <row r="76" spans="1:13" x14ac:dyDescent="0.2">
      <c r="A76" s="128"/>
      <c r="B76" s="128" t="s">
        <v>59</v>
      </c>
      <c r="C76" s="128">
        <v>246231.6</v>
      </c>
      <c r="D76" s="128">
        <v>388882.8</v>
      </c>
      <c r="J76" t="s">
        <v>59</v>
      </c>
      <c r="K76">
        <v>344142.6</v>
      </c>
      <c r="L76">
        <v>806684.3</v>
      </c>
    </row>
    <row r="77" spans="1:13" x14ac:dyDescent="0.2">
      <c r="A77" s="128"/>
      <c r="B77" s="128" t="s">
        <v>60</v>
      </c>
      <c r="C77" s="128">
        <v>200852</v>
      </c>
      <c r="D77" s="128">
        <v>246961.7</v>
      </c>
      <c r="J77" t="s">
        <v>60</v>
      </c>
      <c r="K77">
        <v>295327.2</v>
      </c>
      <c r="L77">
        <v>593213</v>
      </c>
    </row>
    <row r="79" spans="1:13" x14ac:dyDescent="0.2">
      <c r="A79" t="s">
        <v>42</v>
      </c>
      <c r="B79" t="s">
        <v>232</v>
      </c>
      <c r="C79" t="s">
        <v>44</v>
      </c>
      <c r="D79" t="s">
        <v>45</v>
      </c>
      <c r="E79" t="s">
        <v>84</v>
      </c>
      <c r="I79" t="s">
        <v>42</v>
      </c>
      <c r="J79" t="s">
        <v>232</v>
      </c>
      <c r="K79" t="s">
        <v>44</v>
      </c>
      <c r="L79" t="s">
        <v>45</v>
      </c>
      <c r="M79" t="s">
        <v>86</v>
      </c>
    </row>
    <row r="80" spans="1:13" x14ac:dyDescent="0.2">
      <c r="B80" t="s">
        <v>201</v>
      </c>
      <c r="J80" t="s">
        <v>201</v>
      </c>
    </row>
    <row r="81" spans="1:15" x14ac:dyDescent="0.2">
      <c r="A81" t="s">
        <v>48</v>
      </c>
      <c r="C81" t="s">
        <v>202</v>
      </c>
      <c r="D81" t="s">
        <v>203</v>
      </c>
      <c r="E81" s="32" t="s">
        <v>73</v>
      </c>
      <c r="F81" s="43" t="s">
        <v>75</v>
      </c>
      <c r="G81" s="25"/>
      <c r="I81" t="s">
        <v>48</v>
      </c>
      <c r="K81" t="s">
        <v>202</v>
      </c>
      <c r="L81" t="s">
        <v>203</v>
      </c>
      <c r="M81" s="32" t="s">
        <v>73</v>
      </c>
      <c r="N81" s="43" t="s">
        <v>75</v>
      </c>
      <c r="O81" s="25"/>
    </row>
    <row r="82" spans="1:15" x14ac:dyDescent="0.2">
      <c r="B82" t="s">
        <v>54</v>
      </c>
      <c r="C82">
        <v>6726719</v>
      </c>
      <c r="D82">
        <v>2194576</v>
      </c>
      <c r="E82" s="45">
        <f>D71/D82</f>
        <v>9.7471721188967714E-2</v>
      </c>
      <c r="F82" s="47">
        <v>17.5</v>
      </c>
      <c r="G82" s="48">
        <f t="shared" ref="G82:G88" si="22">F82*E82</f>
        <v>1.705755120806935</v>
      </c>
      <c r="J82" t="s">
        <v>54</v>
      </c>
      <c r="K82">
        <v>6274528</v>
      </c>
      <c r="L82">
        <v>2154652</v>
      </c>
      <c r="M82" s="45">
        <f>L71/L82</f>
        <v>9.7617898389159824E-2</v>
      </c>
      <c r="N82" s="47">
        <v>17.5</v>
      </c>
      <c r="O82" s="48">
        <f t="shared" ref="O82:O88" si="23">N82*M82</f>
        <v>1.708313221810297</v>
      </c>
    </row>
    <row r="83" spans="1:15" x14ac:dyDescent="0.2">
      <c r="B83" t="s">
        <v>55</v>
      </c>
      <c r="C83">
        <v>4476435</v>
      </c>
      <c r="D83">
        <v>3618040</v>
      </c>
      <c r="E83" s="45">
        <f t="shared" ref="E83:E88" si="24">D72/D83</f>
        <v>0.2240228963748328</v>
      </c>
      <c r="F83" s="47">
        <v>22.5</v>
      </c>
      <c r="G83" s="48">
        <f t="shared" si="22"/>
        <v>5.0405151684337381</v>
      </c>
      <c r="J83" t="s">
        <v>55</v>
      </c>
      <c r="K83">
        <v>4094577</v>
      </c>
      <c r="L83">
        <v>4518622</v>
      </c>
      <c r="M83" s="45">
        <f t="shared" ref="M83:M88" si="25">L72/L83</f>
        <v>0.22505139841305599</v>
      </c>
      <c r="N83" s="47">
        <v>22.5</v>
      </c>
      <c r="O83" s="48">
        <f t="shared" si="23"/>
        <v>5.0636564642937598</v>
      </c>
    </row>
    <row r="84" spans="1:15" x14ac:dyDescent="0.2">
      <c r="B84" t="s">
        <v>56</v>
      </c>
      <c r="C84">
        <v>3522797</v>
      </c>
      <c r="D84">
        <v>3510395</v>
      </c>
      <c r="E84" s="45">
        <f t="shared" si="24"/>
        <v>0.27074263722458586</v>
      </c>
      <c r="F84" s="47">
        <v>27.5</v>
      </c>
      <c r="G84" s="48">
        <f t="shared" si="22"/>
        <v>7.4454225236761111</v>
      </c>
      <c r="J84" t="s">
        <v>56</v>
      </c>
      <c r="K84">
        <v>3384859</v>
      </c>
      <c r="L84">
        <v>5259268</v>
      </c>
      <c r="M84" s="45">
        <f t="shared" si="25"/>
        <v>0.28839228196775674</v>
      </c>
      <c r="N84" s="47">
        <v>27.5</v>
      </c>
      <c r="O84" s="48">
        <f t="shared" si="23"/>
        <v>7.9307877541133101</v>
      </c>
    </row>
    <row r="85" spans="1:15" x14ac:dyDescent="0.2">
      <c r="B85" t="s">
        <v>57</v>
      </c>
      <c r="C85">
        <v>3161511</v>
      </c>
      <c r="D85">
        <v>3503006</v>
      </c>
      <c r="E85" s="45">
        <f t="shared" si="24"/>
        <v>0.23161907230532863</v>
      </c>
      <c r="F85" s="47">
        <v>32.5</v>
      </c>
      <c r="G85" s="48">
        <f t="shared" si="22"/>
        <v>7.5276198499231803</v>
      </c>
      <c r="J85" t="s">
        <v>57</v>
      </c>
      <c r="K85">
        <v>2918645</v>
      </c>
      <c r="L85">
        <v>5107890</v>
      </c>
      <c r="M85" s="45">
        <f t="shared" si="25"/>
        <v>0.28371674018038756</v>
      </c>
      <c r="N85" s="47">
        <v>32.5</v>
      </c>
      <c r="O85" s="48">
        <f t="shared" si="23"/>
        <v>9.220794055862596</v>
      </c>
    </row>
    <row r="86" spans="1:15" x14ac:dyDescent="0.2">
      <c r="B86" t="s">
        <v>58</v>
      </c>
      <c r="C86">
        <v>2884618</v>
      </c>
      <c r="D86">
        <v>3420160</v>
      </c>
      <c r="E86" s="45">
        <f t="shared" si="24"/>
        <v>0.17248432821856288</v>
      </c>
      <c r="F86" s="47">
        <v>37.5</v>
      </c>
      <c r="G86" s="48">
        <f t="shared" si="22"/>
        <v>6.4681623081961082</v>
      </c>
      <c r="J86" t="s">
        <v>58</v>
      </c>
      <c r="K86">
        <v>2537984</v>
      </c>
      <c r="L86">
        <v>4583030</v>
      </c>
      <c r="M86" s="45">
        <f t="shared" si="25"/>
        <v>0.23379969147049004</v>
      </c>
      <c r="N86" s="47">
        <v>37.5</v>
      </c>
      <c r="O86" s="48">
        <f t="shared" si="23"/>
        <v>8.7674884301433771</v>
      </c>
    </row>
    <row r="87" spans="1:15" x14ac:dyDescent="0.2">
      <c r="B87" t="s">
        <v>59</v>
      </c>
      <c r="C87">
        <v>2535130</v>
      </c>
      <c r="D87">
        <v>2898979</v>
      </c>
      <c r="E87" s="45">
        <f t="shared" si="24"/>
        <v>0.13414474544313704</v>
      </c>
      <c r="F87" s="47">
        <v>42.5</v>
      </c>
      <c r="G87" s="48">
        <f t="shared" si="22"/>
        <v>5.7011516813333243</v>
      </c>
      <c r="J87" t="s">
        <v>59</v>
      </c>
      <c r="K87">
        <v>2434671</v>
      </c>
      <c r="L87">
        <v>4253854</v>
      </c>
      <c r="M87" s="45">
        <f t="shared" si="25"/>
        <v>0.1896361041070051</v>
      </c>
      <c r="N87" s="47">
        <v>42.5</v>
      </c>
      <c r="O87" s="48">
        <f t="shared" si="23"/>
        <v>8.0595344245477172</v>
      </c>
    </row>
    <row r="88" spans="1:15" x14ac:dyDescent="0.2">
      <c r="B88" t="s">
        <v>60</v>
      </c>
      <c r="C88">
        <v>2329581</v>
      </c>
      <c r="D88">
        <v>2180877</v>
      </c>
      <c r="E88" s="45">
        <f t="shared" si="24"/>
        <v>0.11323962791115685</v>
      </c>
      <c r="F88" s="47">
        <v>47.5</v>
      </c>
      <c r="G88" s="48">
        <f t="shared" si="22"/>
        <v>5.3788823257799505</v>
      </c>
      <c r="J88" t="s">
        <v>60</v>
      </c>
      <c r="K88">
        <v>2430425</v>
      </c>
      <c r="L88">
        <v>3711500</v>
      </c>
      <c r="M88" s="45">
        <f t="shared" si="25"/>
        <v>0.15983106560689747</v>
      </c>
      <c r="N88" s="47">
        <v>47.5</v>
      </c>
      <c r="O88" s="48">
        <f t="shared" si="23"/>
        <v>7.5919756163276295</v>
      </c>
    </row>
    <row r="89" spans="1:15" x14ac:dyDescent="0.2">
      <c r="E89" s="45"/>
      <c r="F89" s="25"/>
      <c r="G89" s="48">
        <f>SUM(G82:G88)/SUM(E82:E88)</f>
        <v>31.572500410520007</v>
      </c>
      <c r="M89" s="45"/>
      <c r="N89" s="25"/>
      <c r="O89" s="48">
        <f>SUM(O82:O88)/SUM(M82:M88)</f>
        <v>32.707085423932256</v>
      </c>
    </row>
    <row r="90" spans="1:15" s="129" customFormat="1" x14ac:dyDescent="0.2"/>
    <row r="91" spans="1:15" x14ac:dyDescent="0.2">
      <c r="D91" s="182" t="s">
        <v>236</v>
      </c>
      <c r="E91" s="182"/>
      <c r="F91" s="182" t="s">
        <v>237</v>
      </c>
      <c r="G91" s="182"/>
    </row>
    <row r="92" spans="1:15" x14ac:dyDescent="0.2">
      <c r="D92">
        <v>2000</v>
      </c>
      <c r="E92">
        <v>2010</v>
      </c>
      <c r="F92">
        <v>2000</v>
      </c>
      <c r="G92">
        <v>2010</v>
      </c>
    </row>
    <row r="93" spans="1:15" x14ac:dyDescent="0.2">
      <c r="C93" t="s">
        <v>81</v>
      </c>
      <c r="D93" s="62">
        <f>parturição_area!P19</f>
        <v>2.7640440021262065</v>
      </c>
      <c r="E93" s="62">
        <f>parturição_area!AF20</f>
        <v>2.3775993047296984</v>
      </c>
      <c r="F93" s="130">
        <f>G89</f>
        <v>31.572500410520007</v>
      </c>
      <c r="G93" s="130">
        <f>O89</f>
        <v>32.707085423932256</v>
      </c>
    </row>
    <row r="94" spans="1:15" x14ac:dyDescent="0.2">
      <c r="C94" t="s">
        <v>235</v>
      </c>
      <c r="D94" s="62">
        <f>parturição_area!P6</f>
        <v>2.1975467850240546</v>
      </c>
      <c r="E94" s="62">
        <f>parturição_area!AF6</f>
        <v>1.8526501352989366</v>
      </c>
      <c r="F94" s="130">
        <f>G11</f>
        <v>32.200010545544394</v>
      </c>
      <c r="G94" s="130">
        <f>P11</f>
        <v>33.84135168248531</v>
      </c>
    </row>
  </sheetData>
  <mergeCells count="4">
    <mergeCell ref="C58:D58"/>
    <mergeCell ref="E58:F58"/>
    <mergeCell ref="D91:E91"/>
    <mergeCell ref="F91:G91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4FD72-CB80-CD45-AB50-2DDA224F86EB}">
  <dimension ref="A1:AF39"/>
  <sheetViews>
    <sheetView topLeftCell="L24" zoomScale="176" workbookViewId="0">
      <selection activeCell="S35" sqref="S35:U38"/>
    </sheetView>
  </sheetViews>
  <sheetFormatPr baseColWidth="10" defaultColWidth="8.83203125" defaultRowHeight="15" x14ac:dyDescent="0.2"/>
  <cols>
    <col min="1" max="16384" width="8.83203125" style="1"/>
  </cols>
  <sheetData>
    <row r="1" spans="1:32" ht="16" x14ac:dyDescent="0.2">
      <c r="A1" s="3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Q1" t="s">
        <v>42</v>
      </c>
      <c r="R1" t="s">
        <v>43</v>
      </c>
      <c r="S1" t="s">
        <v>44</v>
      </c>
      <c r="T1" t="s">
        <v>45</v>
      </c>
      <c r="U1" t="s">
        <v>46</v>
      </c>
      <c r="V1"/>
      <c r="W1"/>
      <c r="X1"/>
      <c r="Y1"/>
    </row>
    <row r="2" spans="1:32" ht="16" x14ac:dyDescent="0.2">
      <c r="A2" s="4" t="s">
        <v>47</v>
      </c>
      <c r="B2" s="1" t="s">
        <v>47</v>
      </c>
      <c r="C2" s="1" t="s">
        <v>35</v>
      </c>
      <c r="D2" s="1" t="s">
        <v>45</v>
      </c>
      <c r="E2" s="1" t="s">
        <v>36</v>
      </c>
      <c r="Q2" t="s">
        <v>47</v>
      </c>
      <c r="R2" t="s">
        <v>47</v>
      </c>
      <c r="S2" t="s">
        <v>35</v>
      </c>
      <c r="T2" t="s">
        <v>45</v>
      </c>
      <c r="U2" t="s">
        <v>36</v>
      </c>
      <c r="V2"/>
      <c r="W2"/>
      <c r="X2"/>
      <c r="Y2"/>
    </row>
    <row r="3" spans="1:32" ht="16" x14ac:dyDescent="0.2">
      <c r="A3" s="24"/>
      <c r="J3" s="175" t="str">
        <f>E2</f>
        <v>1.0-7anos</v>
      </c>
      <c r="K3" s="176"/>
      <c r="L3" s="176"/>
      <c r="M3" s="176"/>
      <c r="N3" s="177"/>
      <c r="Q3"/>
      <c r="R3"/>
      <c r="S3"/>
      <c r="T3"/>
      <c r="U3"/>
      <c r="V3"/>
      <c r="W3"/>
      <c r="X3"/>
      <c r="Y3"/>
      <c r="AA3" s="175" t="str">
        <f>U2</f>
        <v>1.0-7anos</v>
      </c>
      <c r="AB3" s="176"/>
      <c r="AC3" s="176"/>
      <c r="AD3" s="176"/>
      <c r="AE3" s="177"/>
    </row>
    <row r="4" spans="1:32" ht="96" x14ac:dyDescent="0.2">
      <c r="A4" s="4"/>
      <c r="B4" s="1" t="s">
        <v>48</v>
      </c>
      <c r="J4" s="25" t="s">
        <v>49</v>
      </c>
      <c r="K4" s="26" t="s">
        <v>50</v>
      </c>
      <c r="L4" s="26" t="s">
        <v>51</v>
      </c>
      <c r="M4" s="26" t="s">
        <v>52</v>
      </c>
      <c r="N4" s="25" t="s">
        <v>53</v>
      </c>
      <c r="Q4"/>
      <c r="R4" t="s">
        <v>48</v>
      </c>
      <c r="S4"/>
      <c r="T4"/>
      <c r="U4"/>
      <c r="V4"/>
      <c r="W4"/>
      <c r="X4"/>
      <c r="Y4"/>
      <c r="AA4" s="25" t="s">
        <v>49</v>
      </c>
      <c r="AB4" s="26" t="s">
        <v>50</v>
      </c>
      <c r="AC4" s="26" t="s">
        <v>51</v>
      </c>
      <c r="AD4" s="26" t="s">
        <v>52</v>
      </c>
      <c r="AE4" s="25" t="s">
        <v>53</v>
      </c>
    </row>
    <row r="5" spans="1:32" ht="16" x14ac:dyDescent="0.2">
      <c r="A5" s="4" t="s">
        <v>49</v>
      </c>
      <c r="B5" s="1" t="s">
        <v>54</v>
      </c>
      <c r="C5" s="1" t="s">
        <v>55</v>
      </c>
      <c r="D5" s="1" t="s">
        <v>56</v>
      </c>
      <c r="E5" s="1" t="s">
        <v>57</v>
      </c>
      <c r="F5" s="1" t="s">
        <v>58</v>
      </c>
      <c r="G5" s="1" t="s">
        <v>59</v>
      </c>
      <c r="H5" s="1" t="s">
        <v>60</v>
      </c>
      <c r="J5" s="27">
        <v>0</v>
      </c>
      <c r="K5" s="28">
        <f>I6</f>
        <v>2571.5824720000001</v>
      </c>
      <c r="L5" s="28">
        <f>SUM($K5:K$9)</f>
        <v>47294.566371000001</v>
      </c>
      <c r="M5" s="29">
        <f t="shared" ref="M5" si="0">L6/L5</f>
        <v>0.94562625964624891</v>
      </c>
      <c r="N5" s="30" t="s">
        <v>61</v>
      </c>
      <c r="O5" s="31">
        <f>M5+M5*M6+M5*M6*M7+M5*M6*M7*M8</f>
        <v>3.0247863956676175</v>
      </c>
      <c r="Q5" t="s">
        <v>49</v>
      </c>
      <c r="R5" t="s">
        <v>54</v>
      </c>
      <c r="S5" t="s">
        <v>55</v>
      </c>
      <c r="T5" t="s">
        <v>56</v>
      </c>
      <c r="U5" t="s">
        <v>57</v>
      </c>
      <c r="V5" t="s">
        <v>58</v>
      </c>
      <c r="W5" t="s">
        <v>59</v>
      </c>
      <c r="X5" t="s">
        <v>60</v>
      </c>
      <c r="Y5"/>
      <c r="AA5" s="27">
        <v>0</v>
      </c>
      <c r="AB5" s="28">
        <f t="shared" ref="AB5:AB9" si="1">Y6</f>
        <v>2297.2820000000002</v>
      </c>
      <c r="AC5" s="28">
        <f>SUM($AB5:AB$9)</f>
        <v>34728.175000000003</v>
      </c>
      <c r="AD5" s="29">
        <f t="shared" ref="AD5:AD8" si="2">AC6/AC5</f>
        <v>0.93384961922128062</v>
      </c>
      <c r="AE5" s="30" t="s">
        <v>61</v>
      </c>
      <c r="AF5" s="31">
        <f>AD5+AD5*AD6+AD5*AD6*AD7+AD5*AD6*AD7*AD8</f>
        <v>2.6041844698144949</v>
      </c>
    </row>
    <row r="6" spans="1:32" ht="16" x14ac:dyDescent="0.2">
      <c r="A6" s="4"/>
      <c r="B6" s="1">
        <v>0</v>
      </c>
      <c r="C6" s="1">
        <v>5605.9470540000002</v>
      </c>
      <c r="D6" s="1">
        <v>5029.2671410000003</v>
      </c>
      <c r="E6" s="1">
        <v>3405.562825</v>
      </c>
      <c r="F6" s="1">
        <v>2542.7320719999998</v>
      </c>
      <c r="G6" s="1">
        <v>2478.5587820000001</v>
      </c>
      <c r="H6" s="1">
        <v>2372.201063</v>
      </c>
      <c r="I6" s="1">
        <v>2571.5824720000001</v>
      </c>
      <c r="J6" s="27">
        <v>1</v>
      </c>
      <c r="K6" s="28">
        <f>I7</f>
        <v>3280.7515640000001</v>
      </c>
      <c r="L6" s="28">
        <f>SUM($K6:K$9)</f>
        <v>44722.983898999999</v>
      </c>
      <c r="M6" s="29">
        <f>L7/L6</f>
        <v>0.92664282930206376</v>
      </c>
      <c r="N6" s="30" t="s">
        <v>62</v>
      </c>
      <c r="Q6"/>
      <c r="R6">
        <v>0</v>
      </c>
      <c r="S6" s="156">
        <v>1562.366</v>
      </c>
      <c r="T6" s="156">
        <v>2951.5839999999998</v>
      </c>
      <c r="U6" s="156">
        <v>2692.1590000000001</v>
      </c>
      <c r="V6" s="156">
        <v>2279.4070000000002</v>
      </c>
      <c r="W6" s="156">
        <v>1879.989</v>
      </c>
      <c r="X6" s="156">
        <v>2193.9380000000001</v>
      </c>
      <c r="Y6" s="156">
        <v>2297.2820000000002</v>
      </c>
      <c r="AA6" s="27">
        <v>1</v>
      </c>
      <c r="AB6" s="28">
        <f t="shared" si="1"/>
        <v>4002.9160000000002</v>
      </c>
      <c r="AC6" s="28">
        <f>SUM($AB6:AB$9)</f>
        <v>32430.893</v>
      </c>
      <c r="AD6" s="29">
        <f t="shared" si="2"/>
        <v>0.87657089800148269</v>
      </c>
      <c r="AE6" s="30" t="s">
        <v>62</v>
      </c>
    </row>
    <row r="7" spans="1:32" ht="16" x14ac:dyDescent="0.2">
      <c r="A7" s="4"/>
      <c r="B7" s="1">
        <v>1</v>
      </c>
      <c r="C7" s="1">
        <v>1215.156745</v>
      </c>
      <c r="D7" s="1">
        <v>4877.3650690000004</v>
      </c>
      <c r="E7" s="1">
        <v>4757.5006590000003</v>
      </c>
      <c r="F7" s="1">
        <v>4258.6170480000001</v>
      </c>
      <c r="G7" s="1">
        <v>3808.1743540000002</v>
      </c>
      <c r="H7" s="1">
        <v>3449.6623290000002</v>
      </c>
      <c r="I7" s="1">
        <v>3280.7515640000001</v>
      </c>
      <c r="J7" s="27">
        <v>2</v>
      </c>
      <c r="K7" s="28">
        <f>I8</f>
        <v>8300.4653030000009</v>
      </c>
      <c r="L7" s="28">
        <f>SUM($K7:K$9)</f>
        <v>41442.232335000001</v>
      </c>
      <c r="M7" s="29">
        <f>L8/L7</f>
        <v>0.79970998579654584</v>
      </c>
      <c r="N7" s="30" t="s">
        <v>63</v>
      </c>
      <c r="Q7"/>
      <c r="R7">
        <v>1</v>
      </c>
      <c r="S7" s="156">
        <v>240.2088</v>
      </c>
      <c r="T7" s="156">
        <v>1643.6969999999999</v>
      </c>
      <c r="U7" s="156">
        <v>2620.69</v>
      </c>
      <c r="V7" s="156">
        <v>3505.761</v>
      </c>
      <c r="W7" s="156">
        <v>3530.5639999999999</v>
      </c>
      <c r="X7" s="156">
        <v>4031.2669999999998</v>
      </c>
      <c r="Y7" s="156">
        <v>4002.9160000000002</v>
      </c>
      <c r="AA7" s="27">
        <v>2</v>
      </c>
      <c r="AB7" s="28">
        <f t="shared" si="1"/>
        <v>9592.7530000000006</v>
      </c>
      <c r="AC7" s="28">
        <f>SUM($AB7:AB$9)</f>
        <v>28427.976999999999</v>
      </c>
      <c r="AD7" s="29">
        <f t="shared" si="2"/>
        <v>0.66255942165705284</v>
      </c>
      <c r="AE7" s="30" t="s">
        <v>63</v>
      </c>
    </row>
    <row r="8" spans="1:32" ht="16" x14ac:dyDescent="0.2">
      <c r="A8" s="4"/>
      <c r="B8" s="1">
        <v>2</v>
      </c>
      <c r="C8" s="1">
        <v>316.57806099999999</v>
      </c>
      <c r="D8" s="1">
        <v>3462.191468</v>
      </c>
      <c r="E8" s="1">
        <v>7178.2618119999997</v>
      </c>
      <c r="F8" s="1">
        <v>10613.797807999999</v>
      </c>
      <c r="G8" s="1">
        <v>10582.814487</v>
      </c>
      <c r="H8" s="1">
        <v>10378.416466000001</v>
      </c>
      <c r="I8" s="1">
        <v>8300.4653030000009</v>
      </c>
      <c r="J8" s="27">
        <v>3</v>
      </c>
      <c r="K8" s="28">
        <f>I9</f>
        <v>9392.7893499999991</v>
      </c>
      <c r="L8" s="28">
        <f>SUM($K8:K$9)</f>
        <v>33141.767032000003</v>
      </c>
      <c r="M8" s="29">
        <f>L9/L8</f>
        <v>0.71658755126331064</v>
      </c>
      <c r="N8" s="32" t="s">
        <v>64</v>
      </c>
      <c r="Q8"/>
      <c r="R8">
        <v>2</v>
      </c>
      <c r="S8" s="156">
        <v>4.9758259999999996</v>
      </c>
      <c r="T8" s="156">
        <v>862.59320000000002</v>
      </c>
      <c r="U8" s="156">
        <v>3363.123</v>
      </c>
      <c r="V8" s="156">
        <v>5707.1049999999996</v>
      </c>
      <c r="W8" s="156">
        <v>7397.4040000000005</v>
      </c>
      <c r="X8" s="156">
        <v>9931.1929999999993</v>
      </c>
      <c r="Y8" s="156">
        <v>9592.7530000000006</v>
      </c>
      <c r="AA8" s="27">
        <v>3</v>
      </c>
      <c r="AB8" s="28">
        <f t="shared" si="1"/>
        <v>8090.7439999999997</v>
      </c>
      <c r="AC8" s="28">
        <f>SUM($AB8:AB$9)</f>
        <v>18835.223999999998</v>
      </c>
      <c r="AD8" s="29">
        <f t="shared" si="2"/>
        <v>0.57044609610164443</v>
      </c>
      <c r="AE8" s="32" t="s">
        <v>64</v>
      </c>
    </row>
    <row r="9" spans="1:32" ht="16" x14ac:dyDescent="0.2">
      <c r="A9" s="4"/>
      <c r="B9" s="1">
        <v>3</v>
      </c>
      <c r="C9" s="1">
        <v>92.543794000000005</v>
      </c>
      <c r="D9" s="1">
        <v>1548.938224</v>
      </c>
      <c r="E9" s="1">
        <v>5001.3000220000004</v>
      </c>
      <c r="F9" s="1">
        <v>8883.5218719999993</v>
      </c>
      <c r="G9" s="1">
        <v>11676.286217999999</v>
      </c>
      <c r="H9" s="1">
        <v>11194.143897</v>
      </c>
      <c r="I9" s="1">
        <v>9392.7893499999991</v>
      </c>
      <c r="J9" s="27" t="s">
        <v>64</v>
      </c>
      <c r="K9" s="28">
        <f>I10</f>
        <v>23748.977682000001</v>
      </c>
      <c r="L9" s="28">
        <f>SUM($K$9:K9)</f>
        <v>23748.977682000001</v>
      </c>
      <c r="M9" s="33" t="s">
        <v>65</v>
      </c>
      <c r="N9" s="32"/>
      <c r="Q9"/>
      <c r="R9">
        <v>3</v>
      </c>
      <c r="S9" s="156">
        <v>3.6483400000000001</v>
      </c>
      <c r="T9" s="156">
        <v>338.86200000000002</v>
      </c>
      <c r="U9" s="156">
        <v>1546.509</v>
      </c>
      <c r="V9" s="156">
        <v>4026.65</v>
      </c>
      <c r="W9" s="156">
        <v>5669.8590000000004</v>
      </c>
      <c r="X9" s="156">
        <v>7651.4170000000004</v>
      </c>
      <c r="Y9" s="156">
        <v>8090.7439999999997</v>
      </c>
      <c r="AA9" s="27" t="s">
        <v>64</v>
      </c>
      <c r="AB9" s="28">
        <f t="shared" si="1"/>
        <v>10744.48</v>
      </c>
      <c r="AC9" s="28">
        <f>SUM($AB$9:AB9)</f>
        <v>10744.48</v>
      </c>
      <c r="AD9" s="33" t="s">
        <v>65</v>
      </c>
      <c r="AE9" s="32"/>
    </row>
    <row r="10" spans="1:32" ht="16" x14ac:dyDescent="0.2">
      <c r="A10" s="4"/>
      <c r="B10" s="1" t="s">
        <v>64</v>
      </c>
      <c r="C10" s="1">
        <v>32.969568000000002</v>
      </c>
      <c r="D10" s="1">
        <v>724.24642500000004</v>
      </c>
      <c r="E10" s="1">
        <v>3281.115859</v>
      </c>
      <c r="F10" s="1">
        <v>8886.046198</v>
      </c>
      <c r="G10" s="1">
        <v>15940.168361</v>
      </c>
      <c r="H10" s="1">
        <v>21130.613291000001</v>
      </c>
      <c r="I10" s="1">
        <v>23748.977682000001</v>
      </c>
      <c r="Q10"/>
      <c r="R10" t="s">
        <v>64</v>
      </c>
      <c r="S10" s="156">
        <v>0</v>
      </c>
      <c r="T10" s="156">
        <v>115.4068</v>
      </c>
      <c r="U10" s="156">
        <v>1030.7539999999999</v>
      </c>
      <c r="V10" s="156">
        <v>3019.1170000000002</v>
      </c>
      <c r="W10" s="156">
        <v>4741.518</v>
      </c>
      <c r="X10" s="156">
        <v>7477.4979999999996</v>
      </c>
      <c r="Y10" s="156">
        <v>10744.48</v>
      </c>
    </row>
    <row r="11" spans="1:32" ht="16" x14ac:dyDescent="0.2">
      <c r="A11" s="24"/>
      <c r="Q11"/>
      <c r="R11"/>
      <c r="S11"/>
      <c r="T11"/>
      <c r="U11"/>
      <c r="V11"/>
      <c r="W11"/>
      <c r="X11"/>
      <c r="Y11"/>
    </row>
    <row r="12" spans="1:32" ht="16" x14ac:dyDescent="0.2">
      <c r="A12" s="4" t="s">
        <v>47</v>
      </c>
      <c r="B12" s="1" t="s">
        <v>47</v>
      </c>
      <c r="C12" s="1" t="s">
        <v>35</v>
      </c>
      <c r="D12" s="1" t="s">
        <v>45</v>
      </c>
      <c r="E12" s="1" t="s">
        <v>38</v>
      </c>
      <c r="Q12" t="s">
        <v>47</v>
      </c>
      <c r="R12" t="s">
        <v>47</v>
      </c>
      <c r="S12" t="s">
        <v>35</v>
      </c>
      <c r="T12" t="s">
        <v>45</v>
      </c>
      <c r="U12" t="s">
        <v>38</v>
      </c>
      <c r="V12"/>
      <c r="W12"/>
      <c r="X12"/>
      <c r="Y12"/>
    </row>
    <row r="13" spans="1:32" ht="16" x14ac:dyDescent="0.2">
      <c r="A13" s="24"/>
      <c r="J13" s="175" t="str">
        <f>E12</f>
        <v>2.8-11anos</v>
      </c>
      <c r="K13" s="176"/>
      <c r="L13" s="176"/>
      <c r="M13" s="176"/>
      <c r="N13" s="177"/>
      <c r="Q13"/>
      <c r="R13"/>
      <c r="S13"/>
      <c r="T13"/>
      <c r="U13"/>
      <c r="V13"/>
      <c r="W13"/>
      <c r="X13"/>
      <c r="Y13"/>
      <c r="AA13" s="175" t="str">
        <f>U12</f>
        <v>2.8-11anos</v>
      </c>
      <c r="AB13" s="176"/>
      <c r="AC13" s="176"/>
      <c r="AD13" s="176"/>
      <c r="AE13" s="177"/>
    </row>
    <row r="14" spans="1:32" ht="96" x14ac:dyDescent="0.2">
      <c r="A14" s="4"/>
      <c r="B14" s="1" t="s">
        <v>48</v>
      </c>
      <c r="J14" s="25" t="s">
        <v>49</v>
      </c>
      <c r="K14" s="26" t="s">
        <v>50</v>
      </c>
      <c r="L14" s="26" t="s">
        <v>51</v>
      </c>
      <c r="M14" s="26" t="s">
        <v>52</v>
      </c>
      <c r="N14" s="25" t="s">
        <v>53</v>
      </c>
      <c r="Q14"/>
      <c r="R14" t="s">
        <v>48</v>
      </c>
      <c r="S14"/>
      <c r="T14"/>
      <c r="U14"/>
      <c r="V14"/>
      <c r="W14"/>
      <c r="X14"/>
      <c r="Y14"/>
      <c r="AA14" s="25" t="s">
        <v>49</v>
      </c>
      <c r="AB14" s="26" t="s">
        <v>50</v>
      </c>
      <c r="AC14" s="26" t="s">
        <v>51</v>
      </c>
      <c r="AD14" s="26" t="s">
        <v>52</v>
      </c>
      <c r="AE14" s="25" t="s">
        <v>53</v>
      </c>
    </row>
    <row r="15" spans="1:32" ht="16" x14ac:dyDescent="0.2">
      <c r="A15" s="4" t="s">
        <v>49</v>
      </c>
      <c r="B15" s="1" t="s">
        <v>54</v>
      </c>
      <c r="C15" s="1" t="s">
        <v>55</v>
      </c>
      <c r="D15" s="1" t="s">
        <v>56</v>
      </c>
      <c r="E15" s="1" t="s">
        <v>57</v>
      </c>
      <c r="F15" s="1" t="s">
        <v>58</v>
      </c>
      <c r="G15" s="1" t="s">
        <v>59</v>
      </c>
      <c r="H15" s="1" t="s">
        <v>60</v>
      </c>
      <c r="J15" s="27">
        <v>0</v>
      </c>
      <c r="K15" s="28">
        <f>I16</f>
        <v>12133.078221</v>
      </c>
      <c r="L15" s="28">
        <f>SUM($K15:K$19)</f>
        <v>92794.888284999994</v>
      </c>
      <c r="M15" s="29">
        <f t="shared" ref="M15:M18" si="3">L16/L15</f>
        <v>0.86924842041152306</v>
      </c>
      <c r="N15" s="30" t="s">
        <v>61</v>
      </c>
      <c r="O15" s="31">
        <f>M15+M15*M16+M15*M16*M17+M15*M16*M17*M18</f>
        <v>2.2560640154447058</v>
      </c>
      <c r="Q15" t="s">
        <v>49</v>
      </c>
      <c r="R15" t="s">
        <v>54</v>
      </c>
      <c r="S15" t="s">
        <v>55</v>
      </c>
      <c r="T15" t="s">
        <v>56</v>
      </c>
      <c r="U15" t="s">
        <v>57</v>
      </c>
      <c r="V15" t="s">
        <v>58</v>
      </c>
      <c r="W15" t="s">
        <v>59</v>
      </c>
      <c r="X15" t="s">
        <v>60</v>
      </c>
      <c r="Y15"/>
      <c r="AA15" s="27">
        <v>0</v>
      </c>
      <c r="AB15" s="28">
        <f t="shared" ref="AB15:AB19" si="4">Y16</f>
        <v>13887.21</v>
      </c>
      <c r="AC15" s="28">
        <f>SUM($AB15:AB$19)</f>
        <v>123059.88999999998</v>
      </c>
      <c r="AD15" s="29">
        <f t="shared" ref="AD15:AD18" si="5">AC16/AC15</f>
        <v>0.88715080112618339</v>
      </c>
      <c r="AE15" s="30" t="s">
        <v>61</v>
      </c>
      <c r="AF15" s="31">
        <f>AD15+AD15*AD16+AD15*AD16*AD17+AD15*AD16*AD17*AD18</f>
        <v>2.0430318928450206</v>
      </c>
    </row>
    <row r="16" spans="1:32" ht="16" x14ac:dyDescent="0.2">
      <c r="A16" s="4"/>
      <c r="B16" s="1">
        <v>0</v>
      </c>
      <c r="C16" s="1">
        <v>32768.981797</v>
      </c>
      <c r="D16" s="1">
        <v>69148.563683</v>
      </c>
      <c r="E16" s="1">
        <v>47093.117386999998</v>
      </c>
      <c r="F16" s="1">
        <v>29298.888643999999</v>
      </c>
      <c r="G16" s="1">
        <v>20381.412989</v>
      </c>
      <c r="H16" s="1">
        <v>15469.533559</v>
      </c>
      <c r="I16" s="1">
        <v>12133.078221</v>
      </c>
      <c r="J16" s="27">
        <v>1</v>
      </c>
      <c r="K16" s="28">
        <f>I17</f>
        <v>11929.25282</v>
      </c>
      <c r="L16" s="28">
        <f>SUM($K16:K$19)</f>
        <v>80661.81006399999</v>
      </c>
      <c r="M16" s="29">
        <f t="shared" si="3"/>
        <v>0.85210779660740443</v>
      </c>
      <c r="N16" s="30" t="s">
        <v>62</v>
      </c>
      <c r="Q16"/>
      <c r="R16">
        <v>0</v>
      </c>
      <c r="S16" s="156">
        <v>9457.7790000000005</v>
      </c>
      <c r="T16" s="156">
        <v>53046.59</v>
      </c>
      <c r="U16" s="156">
        <v>45106.06</v>
      </c>
      <c r="V16" s="156">
        <v>25648.080000000002</v>
      </c>
      <c r="W16" s="156">
        <v>17896.54</v>
      </c>
      <c r="X16" s="156">
        <v>14974.06</v>
      </c>
      <c r="Y16" s="156">
        <v>13887.21</v>
      </c>
      <c r="AA16" s="27">
        <v>1</v>
      </c>
      <c r="AB16" s="28">
        <f t="shared" si="4"/>
        <v>21102.959999999999</v>
      </c>
      <c r="AC16" s="28">
        <f>SUM($AB16:AB$19)</f>
        <v>109172.68</v>
      </c>
      <c r="AD16" s="29">
        <f t="shared" si="5"/>
        <v>0.8067010904193247</v>
      </c>
      <c r="AE16" s="30" t="s">
        <v>62</v>
      </c>
    </row>
    <row r="17" spans="1:32" ht="16" x14ac:dyDescent="0.2">
      <c r="A17" s="4"/>
      <c r="B17" s="1">
        <v>1</v>
      </c>
      <c r="C17" s="1">
        <v>2585.5530279999998</v>
      </c>
      <c r="D17" s="1">
        <v>26619.554843000002</v>
      </c>
      <c r="E17" s="1">
        <v>38038.589400999997</v>
      </c>
      <c r="F17" s="1">
        <v>34554.103491000002</v>
      </c>
      <c r="G17" s="1">
        <v>26700.223470000001</v>
      </c>
      <c r="H17" s="1">
        <v>19111.039846</v>
      </c>
      <c r="I17" s="1">
        <v>11929.25282</v>
      </c>
      <c r="J17" s="27">
        <v>2</v>
      </c>
      <c r="K17" s="28">
        <f>I18</f>
        <v>26462.929773</v>
      </c>
      <c r="L17" s="28">
        <f>SUM($K17:K$19)</f>
        <v>68732.557243999996</v>
      </c>
      <c r="M17" s="29">
        <f t="shared" si="3"/>
        <v>0.61498697510909106</v>
      </c>
      <c r="N17" s="30" t="s">
        <v>63</v>
      </c>
      <c r="Q17"/>
      <c r="R17">
        <v>1</v>
      </c>
      <c r="S17" s="156">
        <v>637.00760000000002</v>
      </c>
      <c r="T17" s="156">
        <v>14638.95</v>
      </c>
      <c r="U17" s="156">
        <v>34664.03</v>
      </c>
      <c r="V17" s="156">
        <v>37920.75</v>
      </c>
      <c r="W17" s="156">
        <v>27590.51</v>
      </c>
      <c r="X17" s="156">
        <v>23279.95</v>
      </c>
      <c r="Y17" s="156">
        <v>21102.959999999999</v>
      </c>
      <c r="AA17" s="27">
        <v>2</v>
      </c>
      <c r="AB17" s="28">
        <f t="shared" si="4"/>
        <v>47475.13</v>
      </c>
      <c r="AC17" s="28">
        <f>SUM($AB17:AB$19)</f>
        <v>88069.72</v>
      </c>
      <c r="AD17" s="29">
        <f t="shared" si="5"/>
        <v>0.46093697129955674</v>
      </c>
      <c r="AE17" s="30" t="s">
        <v>63</v>
      </c>
    </row>
    <row r="18" spans="1:32" ht="16" x14ac:dyDescent="0.2">
      <c r="A18" s="4"/>
      <c r="B18" s="1">
        <v>2</v>
      </c>
      <c r="C18" s="1">
        <v>211.55210600000001</v>
      </c>
      <c r="D18" s="1">
        <v>7838.5917520000003</v>
      </c>
      <c r="E18" s="1">
        <v>26429.863648999999</v>
      </c>
      <c r="F18" s="1">
        <v>47532.486886999999</v>
      </c>
      <c r="G18" s="1">
        <v>54479.053584000001</v>
      </c>
      <c r="H18" s="1">
        <v>42276.626966999997</v>
      </c>
      <c r="I18" s="1">
        <v>26462.929773</v>
      </c>
      <c r="J18" s="27">
        <v>3</v>
      </c>
      <c r="K18" s="28">
        <f>I19</f>
        <v>24582.413972999999</v>
      </c>
      <c r="L18" s="28">
        <f>SUM($K18:K$19)</f>
        <v>42269.627471</v>
      </c>
      <c r="M18" s="29">
        <f t="shared" si="3"/>
        <v>0.41843788451021247</v>
      </c>
      <c r="N18" s="32" t="s">
        <v>64</v>
      </c>
      <c r="Q18"/>
      <c r="R18">
        <v>2</v>
      </c>
      <c r="S18" s="156">
        <v>84.649860000000004</v>
      </c>
      <c r="T18" s="156">
        <v>3853.75</v>
      </c>
      <c r="U18" s="156">
        <v>18526.41</v>
      </c>
      <c r="V18" s="156">
        <v>36998.76</v>
      </c>
      <c r="W18" s="156">
        <v>44572.2</v>
      </c>
      <c r="X18" s="156">
        <v>47382.34</v>
      </c>
      <c r="Y18" s="156">
        <v>47475.13</v>
      </c>
      <c r="AA18" s="27">
        <v>3</v>
      </c>
      <c r="AB18" s="28">
        <f t="shared" si="4"/>
        <v>27016.3</v>
      </c>
      <c r="AC18" s="28">
        <f>SUM($AB18:AB$19)</f>
        <v>40594.589999999997</v>
      </c>
      <c r="AD18" s="29">
        <f t="shared" si="5"/>
        <v>0.33448521096037681</v>
      </c>
      <c r="AE18" s="32" t="s">
        <v>64</v>
      </c>
    </row>
    <row r="19" spans="1:32" ht="16" x14ac:dyDescent="0.2">
      <c r="A19" s="4"/>
      <c r="B19" s="1">
        <v>3</v>
      </c>
      <c r="C19" s="1">
        <v>38.861376</v>
      </c>
      <c r="D19" s="1">
        <v>1723.2544459999999</v>
      </c>
      <c r="E19" s="1">
        <v>8536.2626409999993</v>
      </c>
      <c r="F19" s="1">
        <v>20346.851408999999</v>
      </c>
      <c r="G19" s="1">
        <v>29575.723655000002</v>
      </c>
      <c r="H19" s="1">
        <v>31080.662680000001</v>
      </c>
      <c r="I19" s="1">
        <v>24582.413972999999</v>
      </c>
      <c r="J19" s="27" t="s">
        <v>64</v>
      </c>
      <c r="K19" s="28">
        <f>I20</f>
        <v>17687.213498000001</v>
      </c>
      <c r="L19" s="28">
        <f>SUM($K$19:K19)</f>
        <v>17687.213498000001</v>
      </c>
      <c r="M19" s="33" t="s">
        <v>65</v>
      </c>
      <c r="N19" s="32"/>
      <c r="Q19"/>
      <c r="R19">
        <v>3</v>
      </c>
      <c r="S19" s="156">
        <v>10.046519999999999</v>
      </c>
      <c r="T19" s="156">
        <v>621.6875</v>
      </c>
      <c r="U19" s="156">
        <v>5409.2790000000005</v>
      </c>
      <c r="V19" s="156">
        <v>13805.93</v>
      </c>
      <c r="W19" s="156">
        <v>20652.400000000001</v>
      </c>
      <c r="X19" s="156">
        <v>23749.45</v>
      </c>
      <c r="Y19" s="156">
        <v>27016.3</v>
      </c>
      <c r="AA19" s="27" t="s">
        <v>64</v>
      </c>
      <c r="AB19" s="28">
        <f t="shared" si="4"/>
        <v>13578.29</v>
      </c>
      <c r="AC19" s="28">
        <f>SUM($AB$19:AB19)</f>
        <v>13578.29</v>
      </c>
      <c r="AD19" s="33" t="s">
        <v>65</v>
      </c>
      <c r="AE19" s="32"/>
    </row>
    <row r="20" spans="1:32" ht="16" x14ac:dyDescent="0.2">
      <c r="A20" s="4"/>
      <c r="B20" s="1" t="s">
        <v>64</v>
      </c>
      <c r="C20" s="1">
        <v>0</v>
      </c>
      <c r="D20" s="1">
        <v>409.74518999999998</v>
      </c>
      <c r="E20" s="1">
        <v>2501.3030090000002</v>
      </c>
      <c r="F20" s="1">
        <v>6955.8453650000001</v>
      </c>
      <c r="G20" s="1">
        <v>12868.326319</v>
      </c>
      <c r="H20" s="1">
        <v>17887.167257000001</v>
      </c>
      <c r="I20" s="1">
        <v>17687.213498000001</v>
      </c>
      <c r="Q20"/>
      <c r="R20" t="s">
        <v>64</v>
      </c>
      <c r="S20" s="156">
        <v>4.9216470000000001</v>
      </c>
      <c r="T20" s="156">
        <v>169.47399999999999</v>
      </c>
      <c r="U20" s="156">
        <v>1379.14</v>
      </c>
      <c r="V20" s="156">
        <v>4847.4489999999996</v>
      </c>
      <c r="W20" s="156">
        <v>7305.2809999999999</v>
      </c>
      <c r="X20" s="156">
        <v>11047.96</v>
      </c>
      <c r="Y20" s="156">
        <v>13578.29</v>
      </c>
    </row>
    <row r="21" spans="1:32" ht="16" x14ac:dyDescent="0.2">
      <c r="A21" s="24"/>
      <c r="Q21"/>
      <c r="R21"/>
      <c r="S21"/>
      <c r="T21"/>
      <c r="U21"/>
      <c r="V21"/>
      <c r="W21"/>
      <c r="X21"/>
      <c r="Y21"/>
    </row>
    <row r="22" spans="1:32" ht="16" x14ac:dyDescent="0.2">
      <c r="A22" s="4" t="s">
        <v>47</v>
      </c>
      <c r="B22" s="1" t="s">
        <v>47</v>
      </c>
      <c r="C22" s="1" t="s">
        <v>35</v>
      </c>
      <c r="D22" s="1" t="s">
        <v>45</v>
      </c>
      <c r="E22" s="1" t="s">
        <v>40</v>
      </c>
      <c r="Q22" t="s">
        <v>47</v>
      </c>
      <c r="R22" t="s">
        <v>47</v>
      </c>
      <c r="S22" t="s">
        <v>35</v>
      </c>
      <c r="T22" t="s">
        <v>45</v>
      </c>
      <c r="U22" t="s">
        <v>40</v>
      </c>
      <c r="V22"/>
      <c r="W22"/>
      <c r="X22"/>
      <c r="Y22"/>
    </row>
    <row r="23" spans="1:32" ht="16" x14ac:dyDescent="0.2">
      <c r="A23" s="24"/>
      <c r="J23" s="175" t="str">
        <f>E22</f>
        <v>3.12+anos</v>
      </c>
      <c r="K23" s="176"/>
      <c r="L23" s="176"/>
      <c r="M23" s="176"/>
      <c r="N23" s="177"/>
      <c r="Q23"/>
      <c r="R23"/>
      <c r="S23"/>
      <c r="T23"/>
      <c r="U23"/>
      <c r="V23"/>
      <c r="W23"/>
      <c r="X23"/>
      <c r="Y23"/>
      <c r="AA23" s="175" t="str">
        <f>U22</f>
        <v>3.12+anos</v>
      </c>
      <c r="AB23" s="176"/>
      <c r="AC23" s="176"/>
      <c r="AD23" s="176"/>
      <c r="AE23" s="177"/>
    </row>
    <row r="24" spans="1:32" ht="96" x14ac:dyDescent="0.2">
      <c r="A24" s="4"/>
      <c r="B24" s="1" t="s">
        <v>48</v>
      </c>
      <c r="J24" s="25" t="s">
        <v>49</v>
      </c>
      <c r="K24" s="26" t="s">
        <v>50</v>
      </c>
      <c r="L24" s="26" t="s">
        <v>51</v>
      </c>
      <c r="M24" s="26" t="s">
        <v>52</v>
      </c>
      <c r="N24" s="25" t="s">
        <v>53</v>
      </c>
      <c r="Q24"/>
      <c r="R24" t="s">
        <v>48</v>
      </c>
      <c r="S24"/>
      <c r="T24"/>
      <c r="U24"/>
      <c r="V24"/>
      <c r="W24"/>
      <c r="X24"/>
      <c r="Y24"/>
      <c r="AA24" s="25" t="s">
        <v>49</v>
      </c>
      <c r="AB24" s="26" t="s">
        <v>50</v>
      </c>
      <c r="AC24" s="26" t="s">
        <v>51</v>
      </c>
      <c r="AD24" s="26" t="s">
        <v>52</v>
      </c>
      <c r="AE24" s="25" t="s">
        <v>53</v>
      </c>
    </row>
    <row r="25" spans="1:32" ht="16" x14ac:dyDescent="0.2">
      <c r="A25" s="4" t="s">
        <v>49</v>
      </c>
      <c r="B25" s="1" t="s">
        <v>54</v>
      </c>
      <c r="C25" s="1" t="s">
        <v>55</v>
      </c>
      <c r="D25" s="1" t="s">
        <v>56</v>
      </c>
      <c r="E25" s="1" t="s">
        <v>57</v>
      </c>
      <c r="F25" s="1" t="s">
        <v>58</v>
      </c>
      <c r="G25" s="1" t="s">
        <v>59</v>
      </c>
      <c r="H25" s="1" t="s">
        <v>60</v>
      </c>
      <c r="J25" s="27">
        <v>0</v>
      </c>
      <c r="K25" s="28">
        <f>I26</f>
        <v>23255.905241</v>
      </c>
      <c r="L25" s="28">
        <f>SUM($K25:K$31)</f>
        <v>109382.67317300002</v>
      </c>
      <c r="M25" s="29">
        <f t="shared" ref="M25:M28" si="6">L26/L25</f>
        <v>0.7873894962850434</v>
      </c>
      <c r="N25" s="30" t="s">
        <v>61</v>
      </c>
      <c r="O25" s="31">
        <f>M25+M25*M26+M25*M26*M27+M25*M26*M27*M28</f>
        <v>1.7902241512354631</v>
      </c>
      <c r="Q25" t="s">
        <v>49</v>
      </c>
      <c r="R25" t="s">
        <v>54</v>
      </c>
      <c r="S25" t="s">
        <v>55</v>
      </c>
      <c r="T25" t="s">
        <v>56</v>
      </c>
      <c r="U25" t="s">
        <v>57</v>
      </c>
      <c r="V25" t="s">
        <v>58</v>
      </c>
      <c r="W25" t="s">
        <v>59</v>
      </c>
      <c r="X25" t="s">
        <v>60</v>
      </c>
      <c r="Y25"/>
      <c r="AA25" s="27">
        <v>0</v>
      </c>
      <c r="AB25" s="28">
        <f>Y26</f>
        <v>47864.62</v>
      </c>
      <c r="AC25" s="28">
        <f>SUM($AB25:AB$29)</f>
        <v>247407.31</v>
      </c>
      <c r="AD25" s="29">
        <f t="shared" ref="AD25:AD28" si="7">AC26/AC25</f>
        <v>0.80653514239332702</v>
      </c>
      <c r="AE25" s="30" t="s">
        <v>61</v>
      </c>
      <c r="AF25" s="31">
        <f>AD25+AD25*AD26+AD25*AD26*AD27+AD25*AD26*AD27*AD28</f>
        <v>1.6524628961044037</v>
      </c>
    </row>
    <row r="26" spans="1:32" ht="16" x14ac:dyDescent="0.2">
      <c r="A26" s="4"/>
      <c r="B26" s="1">
        <v>0</v>
      </c>
      <c r="C26" s="1">
        <v>2970.3439779999999</v>
      </c>
      <c r="D26" s="1">
        <v>40310.660965000003</v>
      </c>
      <c r="E26" s="1">
        <v>61568.381419999998</v>
      </c>
      <c r="F26" s="1">
        <v>51736.014171000003</v>
      </c>
      <c r="G26" s="1">
        <v>41060.505573000002</v>
      </c>
      <c r="H26" s="1">
        <v>29917.244709999999</v>
      </c>
      <c r="I26" s="1">
        <v>23255.905241</v>
      </c>
      <c r="J26" s="27">
        <v>1</v>
      </c>
      <c r="K26" s="28">
        <f>I27</f>
        <v>16848.055272000001</v>
      </c>
      <c r="L26" s="28">
        <f>SUM($K26:K$29)</f>
        <v>86126.767932000017</v>
      </c>
      <c r="M26" s="29">
        <f t="shared" si="6"/>
        <v>0.80438073230262008</v>
      </c>
      <c r="N26" s="30" t="s">
        <v>62</v>
      </c>
      <c r="Q26"/>
      <c r="R26">
        <v>0</v>
      </c>
      <c r="S26" s="156">
        <v>604.48239999999998</v>
      </c>
      <c r="T26" s="156">
        <v>35919.230000000003</v>
      </c>
      <c r="U26" s="156">
        <v>107757.1</v>
      </c>
      <c r="V26" s="156">
        <v>93031.58</v>
      </c>
      <c r="W26" s="156">
        <v>59310.68</v>
      </c>
      <c r="X26" s="156">
        <v>52452.959999999999</v>
      </c>
      <c r="Y26" s="156">
        <v>47864.62</v>
      </c>
      <c r="AA26" s="27">
        <v>1</v>
      </c>
      <c r="AB26" s="28">
        <f>Y27</f>
        <v>50803.3</v>
      </c>
      <c r="AC26" s="28">
        <f>SUM($AB26:AB$29)</f>
        <v>199542.69</v>
      </c>
      <c r="AD26" s="29">
        <f t="shared" si="7"/>
        <v>0.74540134745101416</v>
      </c>
      <c r="AE26" s="30" t="s">
        <v>62</v>
      </c>
    </row>
    <row r="27" spans="1:32" ht="16" x14ac:dyDescent="0.2">
      <c r="A27" s="4"/>
      <c r="B27" s="1">
        <v>1</v>
      </c>
      <c r="C27" s="1">
        <v>97.408028000000002</v>
      </c>
      <c r="D27" s="1">
        <v>6143.3552099999997</v>
      </c>
      <c r="E27" s="1">
        <v>22997.448647000001</v>
      </c>
      <c r="F27" s="1">
        <v>38166.120123000001</v>
      </c>
      <c r="G27" s="1">
        <v>36173.718238000001</v>
      </c>
      <c r="H27" s="1">
        <v>26631.890227</v>
      </c>
      <c r="I27" s="1">
        <v>16848.055272000001</v>
      </c>
      <c r="J27" s="27">
        <v>2</v>
      </c>
      <c r="K27" s="28">
        <f>I28</f>
        <v>36682.984822999999</v>
      </c>
      <c r="L27" s="28">
        <f>SUM($K27:K$29)</f>
        <v>69278.71265999999</v>
      </c>
      <c r="M27" s="29">
        <f t="shared" si="6"/>
        <v>0.4705013500607389</v>
      </c>
      <c r="N27" s="30" t="s">
        <v>63</v>
      </c>
      <c r="Q27"/>
      <c r="R27">
        <v>1</v>
      </c>
      <c r="S27" s="156">
        <v>95.290729999999996</v>
      </c>
      <c r="T27" s="156">
        <v>5540.5230000000001</v>
      </c>
      <c r="U27" s="156">
        <v>37285.25</v>
      </c>
      <c r="V27" s="156">
        <v>71922.92</v>
      </c>
      <c r="W27" s="156">
        <v>69125.91</v>
      </c>
      <c r="X27" s="156">
        <v>60522.1</v>
      </c>
      <c r="Y27" s="156">
        <v>50803.3</v>
      </c>
      <c r="AA27" s="27">
        <v>2</v>
      </c>
      <c r="AB27" s="28">
        <f>Y28</f>
        <v>98011.64</v>
      </c>
      <c r="AC27" s="28">
        <f>SUM($AB27:AB$29)</f>
        <v>148739.39000000001</v>
      </c>
      <c r="AD27" s="29">
        <f t="shared" si="7"/>
        <v>0.34105121716580922</v>
      </c>
      <c r="AE27" s="30" t="s">
        <v>63</v>
      </c>
    </row>
    <row r="28" spans="1:32" ht="16" x14ac:dyDescent="0.2">
      <c r="A28" s="4"/>
      <c r="B28" s="1">
        <v>2</v>
      </c>
      <c r="C28" s="1">
        <v>19.698032999999999</v>
      </c>
      <c r="D28" s="1">
        <v>906.13420399999995</v>
      </c>
      <c r="E28" s="1">
        <v>9254.3507590000008</v>
      </c>
      <c r="F28" s="1">
        <v>33455.565006999997</v>
      </c>
      <c r="G28" s="1">
        <v>54590.219531000002</v>
      </c>
      <c r="H28" s="1">
        <v>50243.109183</v>
      </c>
      <c r="I28" s="1">
        <v>36682.984822999999</v>
      </c>
      <c r="J28" s="27">
        <v>3</v>
      </c>
      <c r="K28" s="28">
        <f>I29</f>
        <v>24777.433024999998</v>
      </c>
      <c r="L28" s="28">
        <f>SUM($K28:K$29)</f>
        <v>32595.727836999999</v>
      </c>
      <c r="M28" s="29">
        <f t="shared" si="6"/>
        <v>0.2398564269249209</v>
      </c>
      <c r="N28" s="32" t="s">
        <v>64</v>
      </c>
      <c r="Q28"/>
      <c r="R28">
        <v>2</v>
      </c>
      <c r="S28" s="156">
        <v>24.703859999999999</v>
      </c>
      <c r="T28" s="156">
        <v>772.46289999999999</v>
      </c>
      <c r="U28" s="156">
        <v>11074.87</v>
      </c>
      <c r="V28" s="156">
        <v>43129.79</v>
      </c>
      <c r="W28" s="156">
        <v>76011.63</v>
      </c>
      <c r="X28" s="156">
        <v>94673.16</v>
      </c>
      <c r="Y28" s="156">
        <v>98011.64</v>
      </c>
      <c r="AA28" s="27">
        <v>3</v>
      </c>
      <c r="AB28" s="28">
        <f>Y29</f>
        <v>40906.18</v>
      </c>
      <c r="AC28" s="28">
        <f>SUM($AB28:AB$29)</f>
        <v>50727.75</v>
      </c>
      <c r="AD28" s="29">
        <f t="shared" si="7"/>
        <v>0.19361335758041703</v>
      </c>
      <c r="AE28" s="32" t="s">
        <v>64</v>
      </c>
    </row>
    <row r="29" spans="1:32" ht="16" x14ac:dyDescent="0.2">
      <c r="A29" s="4"/>
      <c r="B29" s="1">
        <v>3</v>
      </c>
      <c r="C29" s="1">
        <v>0</v>
      </c>
      <c r="D29" s="1">
        <v>173.13123100000001</v>
      </c>
      <c r="E29" s="1">
        <v>1452.1346920000001</v>
      </c>
      <c r="F29" s="1">
        <v>8840.1676270000007</v>
      </c>
      <c r="G29" s="1">
        <v>18745.868328</v>
      </c>
      <c r="H29" s="1">
        <v>26646.645176999999</v>
      </c>
      <c r="I29" s="1">
        <v>24777.433024999998</v>
      </c>
      <c r="J29" s="27" t="s">
        <v>64</v>
      </c>
      <c r="K29" s="28">
        <f>I30</f>
        <v>7818.2948120000001</v>
      </c>
      <c r="L29" s="28">
        <f>SUM($K$29:K29)</f>
        <v>7818.2948120000001</v>
      </c>
      <c r="M29" s="33" t="s">
        <v>65</v>
      </c>
      <c r="N29" s="32"/>
      <c r="Q29"/>
      <c r="R29">
        <v>3</v>
      </c>
      <c r="S29" s="156">
        <v>0</v>
      </c>
      <c r="T29" s="156">
        <v>91.980760000000004</v>
      </c>
      <c r="U29" s="156">
        <v>1908.0070000000001</v>
      </c>
      <c r="V29" s="156">
        <v>10568.5</v>
      </c>
      <c r="W29" s="156">
        <v>21298.71</v>
      </c>
      <c r="X29" s="156">
        <v>33473.410000000003</v>
      </c>
      <c r="Y29" s="156">
        <v>40906.18</v>
      </c>
      <c r="AA29" s="27" t="s">
        <v>64</v>
      </c>
      <c r="AB29" s="28">
        <f>Y30</f>
        <v>9821.57</v>
      </c>
      <c r="AC29" s="28">
        <f>SUM($AB$29:AB29)</f>
        <v>9821.57</v>
      </c>
      <c r="AD29" s="33" t="s">
        <v>65</v>
      </c>
      <c r="AE29" s="32"/>
    </row>
    <row r="30" spans="1:32" ht="16" x14ac:dyDescent="0.2">
      <c r="A30" s="14"/>
      <c r="B30" s="1" t="s">
        <v>64</v>
      </c>
      <c r="C30" s="1">
        <v>7.120228</v>
      </c>
      <c r="D30" s="1">
        <v>10.723129999999999</v>
      </c>
      <c r="E30" s="1">
        <v>229.24123399999999</v>
      </c>
      <c r="F30" s="1">
        <v>1184.103171</v>
      </c>
      <c r="G30" s="1">
        <v>3370.0212110000002</v>
      </c>
      <c r="H30" s="1">
        <v>6138.031223</v>
      </c>
      <c r="I30" s="1">
        <v>7818.2948120000001</v>
      </c>
      <c r="Q30"/>
      <c r="R30" t="s">
        <v>64</v>
      </c>
      <c r="S30" s="156">
        <v>0</v>
      </c>
      <c r="T30" s="156">
        <v>0</v>
      </c>
      <c r="U30" s="156">
        <v>186.97</v>
      </c>
      <c r="V30" s="156">
        <v>1816.8979999999999</v>
      </c>
      <c r="W30" s="156">
        <v>4060.59</v>
      </c>
      <c r="X30" s="156">
        <v>7278.4610000000002</v>
      </c>
      <c r="Y30" s="156">
        <v>9821.57</v>
      </c>
    </row>
    <row r="31" spans="1:32" x14ac:dyDescent="0.2">
      <c r="Y31" s="6">
        <f>SUM(S26:Y30)</f>
        <v>1147345.4796500001</v>
      </c>
    </row>
    <row r="34" spans="9:21" x14ac:dyDescent="0.2">
      <c r="I34" s="34"/>
      <c r="J34" s="183">
        <v>2000</v>
      </c>
      <c r="K34" s="183"/>
      <c r="L34" s="183"/>
      <c r="M34" s="183">
        <v>2000</v>
      </c>
      <c r="N34" s="183"/>
      <c r="O34" s="183"/>
    </row>
    <row r="35" spans="9:21" x14ac:dyDescent="0.2">
      <c r="I35" s="36" t="s">
        <v>61</v>
      </c>
      <c r="J35" s="34" t="s">
        <v>66</v>
      </c>
      <c r="K35" s="37" t="s">
        <v>67</v>
      </c>
      <c r="L35" s="34" t="s">
        <v>68</v>
      </c>
      <c r="M35" s="34" t="s">
        <v>66</v>
      </c>
      <c r="N35" s="37" t="s">
        <v>67</v>
      </c>
      <c r="O35" s="34" t="s">
        <v>68</v>
      </c>
      <c r="T35" s="1">
        <v>2000</v>
      </c>
      <c r="U35" s="1">
        <v>2010</v>
      </c>
    </row>
    <row r="36" spans="9:21" x14ac:dyDescent="0.2">
      <c r="I36" s="36" t="s">
        <v>62</v>
      </c>
      <c r="J36" s="36">
        <f>M5</f>
        <v>0.94562625964624891</v>
      </c>
      <c r="K36" s="36">
        <f>M15</f>
        <v>0.86924842041152306</v>
      </c>
      <c r="L36" s="36">
        <f>M25</f>
        <v>0.7873894962850434</v>
      </c>
      <c r="M36" s="36">
        <f>AD5</f>
        <v>0.93384961922128062</v>
      </c>
      <c r="N36" s="36">
        <f>AD15</f>
        <v>0.88715080112618339</v>
      </c>
      <c r="O36" s="36">
        <f>AD25</f>
        <v>0.80653514239332702</v>
      </c>
      <c r="S36" s="1" t="str">
        <f>J3</f>
        <v>1.0-7anos</v>
      </c>
      <c r="T36" s="147">
        <f>O5</f>
        <v>3.0247863956676175</v>
      </c>
      <c r="U36" s="147">
        <f>AF5</f>
        <v>2.6041844698144949</v>
      </c>
    </row>
    <row r="37" spans="9:21" x14ac:dyDescent="0.2">
      <c r="I37" s="36" t="s">
        <v>63</v>
      </c>
      <c r="J37" s="36">
        <f t="shared" ref="J37:J39" si="8">M6</f>
        <v>0.92664282930206376</v>
      </c>
      <c r="K37" s="36">
        <f t="shared" ref="K37:K39" si="9">M16</f>
        <v>0.85210779660740443</v>
      </c>
      <c r="L37" s="36">
        <f t="shared" ref="L37:L39" si="10">M26</f>
        <v>0.80438073230262008</v>
      </c>
      <c r="M37" s="36">
        <f t="shared" ref="M37:M39" si="11">AD6</f>
        <v>0.87657089800148269</v>
      </c>
      <c r="N37" s="36">
        <f t="shared" ref="N37:N39" si="12">AD16</f>
        <v>0.8067010904193247</v>
      </c>
      <c r="O37" s="36">
        <f t="shared" ref="O37:O39" si="13">AD26</f>
        <v>0.74540134745101416</v>
      </c>
      <c r="S37" s="1" t="str">
        <f>J13</f>
        <v>2.8-11anos</v>
      </c>
      <c r="T37" s="147">
        <f>O15</f>
        <v>2.2560640154447058</v>
      </c>
      <c r="U37" s="147">
        <f>AF15</f>
        <v>2.0430318928450206</v>
      </c>
    </row>
    <row r="38" spans="9:21" x14ac:dyDescent="0.2">
      <c r="I38" s="34" t="s">
        <v>64</v>
      </c>
      <c r="J38" s="36">
        <f t="shared" si="8"/>
        <v>0.79970998579654584</v>
      </c>
      <c r="K38" s="36">
        <f t="shared" si="9"/>
        <v>0.61498697510909106</v>
      </c>
      <c r="L38" s="36">
        <f t="shared" si="10"/>
        <v>0.4705013500607389</v>
      </c>
      <c r="M38" s="36">
        <f t="shared" si="11"/>
        <v>0.66255942165705284</v>
      </c>
      <c r="N38" s="36">
        <f t="shared" si="12"/>
        <v>0.46093697129955674</v>
      </c>
      <c r="O38" s="36">
        <f t="shared" si="13"/>
        <v>0.34105121716580922</v>
      </c>
      <c r="S38" s="1" t="str">
        <f>J23</f>
        <v>3.12+anos</v>
      </c>
      <c r="T38" s="147">
        <f>O25</f>
        <v>1.7902241512354631</v>
      </c>
      <c r="U38" s="147">
        <f>AF25</f>
        <v>1.6524628961044037</v>
      </c>
    </row>
    <row r="39" spans="9:21" x14ac:dyDescent="0.2">
      <c r="I39" s="36"/>
      <c r="J39" s="36">
        <f t="shared" si="8"/>
        <v>0.71658755126331064</v>
      </c>
      <c r="K39" s="36">
        <f t="shared" si="9"/>
        <v>0.41843788451021247</v>
      </c>
      <c r="L39" s="36">
        <f t="shared" si="10"/>
        <v>0.2398564269249209</v>
      </c>
      <c r="M39" s="36">
        <f t="shared" si="11"/>
        <v>0.57044609610164443</v>
      </c>
      <c r="N39" s="36">
        <f t="shared" si="12"/>
        <v>0.33448521096037681</v>
      </c>
      <c r="O39" s="36">
        <f t="shared" si="13"/>
        <v>0.19361335758041703</v>
      </c>
    </row>
  </sheetData>
  <mergeCells count="8">
    <mergeCell ref="J34:L34"/>
    <mergeCell ref="M34:O34"/>
    <mergeCell ref="J3:N3"/>
    <mergeCell ref="AA3:AE3"/>
    <mergeCell ref="J13:N13"/>
    <mergeCell ref="AA13:AE13"/>
    <mergeCell ref="J23:N23"/>
    <mergeCell ref="AA23:AE23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EB9AF-E65A-1448-BA70-A9BCC83B6ADD}">
  <dimension ref="B3:J72"/>
  <sheetViews>
    <sheetView topLeftCell="A33" workbookViewId="0">
      <selection activeCell="B43" sqref="B43:J72"/>
    </sheetView>
  </sheetViews>
  <sheetFormatPr baseColWidth="10" defaultRowHeight="16" x14ac:dyDescent="0.2"/>
  <sheetData>
    <row r="3" spans="2:9" x14ac:dyDescent="0.2">
      <c r="B3" t="s">
        <v>238</v>
      </c>
    </row>
    <row r="4" spans="2:9" x14ac:dyDescent="0.2">
      <c r="C4" s="128" t="s">
        <v>239</v>
      </c>
      <c r="D4" s="128">
        <v>2000</v>
      </c>
      <c r="E4" s="128"/>
      <c r="F4" s="128">
        <v>2010</v>
      </c>
      <c r="G4" s="128"/>
    </row>
    <row r="5" spans="2:9" x14ac:dyDescent="0.2">
      <c r="C5" t="s">
        <v>253</v>
      </c>
      <c r="D5" s="128" t="s">
        <v>251</v>
      </c>
      <c r="E5" s="128" t="s">
        <v>242</v>
      </c>
      <c r="F5" s="128" t="s">
        <v>252</v>
      </c>
      <c r="G5" s="128" t="s">
        <v>242</v>
      </c>
    </row>
    <row r="6" spans="2:9" x14ac:dyDescent="0.2">
      <c r="C6" t="s">
        <v>246</v>
      </c>
      <c r="D6">
        <v>0.75</v>
      </c>
      <c r="E6">
        <v>0</v>
      </c>
      <c r="F6">
        <v>0.70799999999999996</v>
      </c>
      <c r="G6">
        <v>0</v>
      </c>
    </row>
    <row r="7" spans="2:9" x14ac:dyDescent="0.2">
      <c r="C7" t="s">
        <v>255</v>
      </c>
    </row>
    <row r="8" spans="2:9" x14ac:dyDescent="0.2">
      <c r="C8" t="s">
        <v>254</v>
      </c>
      <c r="D8" s="62">
        <v>0.186</v>
      </c>
      <c r="E8" s="62">
        <v>1.7000000000000001E-2</v>
      </c>
      <c r="F8" s="62">
        <v>0.14499999999999999</v>
      </c>
      <c r="G8" s="62">
        <v>7.0999999999999994E-2</v>
      </c>
    </row>
    <row r="9" spans="2:9" x14ac:dyDescent="0.2">
      <c r="C9" t="s">
        <v>246</v>
      </c>
      <c r="D9" s="62">
        <v>-1.7999999999999999E-2</v>
      </c>
      <c r="E9" s="62">
        <v>0.88400000000000001</v>
      </c>
      <c r="F9" s="62">
        <v>7.2999999999999995E-2</v>
      </c>
      <c r="G9" s="62">
        <v>0.51</v>
      </c>
    </row>
    <row r="10" spans="2:9" x14ac:dyDescent="0.2">
      <c r="C10" t="s">
        <v>247</v>
      </c>
      <c r="D10" s="62">
        <v>0.70399999999999996</v>
      </c>
      <c r="E10" s="62">
        <v>0</v>
      </c>
      <c r="F10" s="62">
        <v>0.58199999999999996</v>
      </c>
      <c r="G10" s="62">
        <v>0</v>
      </c>
    </row>
    <row r="11" spans="2:9" x14ac:dyDescent="0.2">
      <c r="C11" t="s">
        <v>248</v>
      </c>
      <c r="D11" s="62">
        <v>5.1999999999999998E-2</v>
      </c>
      <c r="E11" s="62">
        <v>0.53700000000000003</v>
      </c>
      <c r="F11" s="62">
        <v>-3.4000000000000002E-2</v>
      </c>
      <c r="G11" s="62">
        <v>0.73499999999999999</v>
      </c>
    </row>
    <row r="12" spans="2:9" x14ac:dyDescent="0.2">
      <c r="C12" t="s">
        <v>249</v>
      </c>
      <c r="D12" s="62">
        <v>9.8000000000000004E-2</v>
      </c>
      <c r="E12" s="62">
        <v>0.11700000000000001</v>
      </c>
      <c r="F12" s="62">
        <v>0.13400000000000001</v>
      </c>
      <c r="G12" s="62">
        <v>7.3999999999999996E-2</v>
      </c>
    </row>
    <row r="13" spans="2:9" x14ac:dyDescent="0.2">
      <c r="C13" t="s">
        <v>250</v>
      </c>
      <c r="D13" s="62">
        <v>8.1000000000000003E-2</v>
      </c>
      <c r="E13" s="62">
        <v>0.19900000000000001</v>
      </c>
      <c r="F13" s="62">
        <v>-1.2999999999999999E-2</v>
      </c>
      <c r="G13" s="62">
        <v>0.86499999999999999</v>
      </c>
    </row>
    <row r="14" spans="2:9" x14ac:dyDescent="0.2">
      <c r="B14" t="s">
        <v>238</v>
      </c>
    </row>
    <row r="15" spans="2:9" x14ac:dyDescent="0.2">
      <c r="D15" t="s">
        <v>239</v>
      </c>
      <c r="E15" t="s">
        <v>240</v>
      </c>
      <c r="F15" t="s">
        <v>241</v>
      </c>
      <c r="G15" t="s">
        <v>242</v>
      </c>
      <c r="H15" t="s">
        <v>243</v>
      </c>
      <c r="I15" t="s">
        <v>244</v>
      </c>
    </row>
    <row r="16" spans="2:9" x14ac:dyDescent="0.2">
      <c r="C16" t="s">
        <v>253</v>
      </c>
      <c r="D16" t="s">
        <v>245</v>
      </c>
    </row>
    <row r="17" spans="2:9" x14ac:dyDescent="0.2">
      <c r="C17" t="s">
        <v>246</v>
      </c>
      <c r="D17">
        <v>1.19</v>
      </c>
      <c r="E17">
        <v>9.0999999999999998E-2</v>
      </c>
      <c r="F17">
        <v>13.12</v>
      </c>
      <c r="G17">
        <v>0</v>
      </c>
      <c r="H17">
        <v>1.19</v>
      </c>
      <c r="I17">
        <v>0.75</v>
      </c>
    </row>
    <row r="18" spans="2:9" x14ac:dyDescent="0.2">
      <c r="C18" t="s">
        <v>255</v>
      </c>
      <c r="D18" t="s">
        <v>245</v>
      </c>
    </row>
    <row r="19" spans="2:9" x14ac:dyDescent="0.2">
      <c r="C19" t="s">
        <v>254</v>
      </c>
      <c r="D19">
        <v>0.20200000000000001</v>
      </c>
      <c r="E19">
        <v>8.5000000000000006E-2</v>
      </c>
      <c r="F19">
        <v>2.387</v>
      </c>
      <c r="G19">
        <v>1.7000000000000001E-2</v>
      </c>
      <c r="H19">
        <v>0.20200000000000001</v>
      </c>
      <c r="I19">
        <v>0.186</v>
      </c>
    </row>
    <row r="20" spans="2:9" x14ac:dyDescent="0.2">
      <c r="C20" t="s">
        <v>246</v>
      </c>
      <c r="D20">
        <v>-3.1E-2</v>
      </c>
      <c r="E20">
        <v>0.214</v>
      </c>
      <c r="F20">
        <v>-0.14599999999999999</v>
      </c>
      <c r="G20">
        <v>0.88400000000000001</v>
      </c>
      <c r="H20">
        <v>-3.1E-2</v>
      </c>
      <c r="I20">
        <v>-1.7999999999999999E-2</v>
      </c>
    </row>
    <row r="21" spans="2:9" x14ac:dyDescent="0.2">
      <c r="C21" t="s">
        <v>247</v>
      </c>
      <c r="D21">
        <v>18.521999999999998</v>
      </c>
      <c r="E21">
        <v>2.3010000000000002</v>
      </c>
      <c r="F21">
        <v>8.0489999999999995</v>
      </c>
      <c r="G21">
        <v>0</v>
      </c>
      <c r="H21">
        <v>18.521999999999998</v>
      </c>
      <c r="I21">
        <v>0.70399999999999996</v>
      </c>
    </row>
    <row r="22" spans="2:9" x14ac:dyDescent="0.2">
      <c r="C22" t="s">
        <v>248</v>
      </c>
      <c r="D22">
        <v>0.51300000000000001</v>
      </c>
      <c r="E22">
        <v>0.83199999999999996</v>
      </c>
      <c r="F22">
        <v>0.61699999999999999</v>
      </c>
      <c r="G22">
        <v>0.53700000000000003</v>
      </c>
      <c r="H22">
        <v>0.51300000000000001</v>
      </c>
      <c r="I22">
        <v>5.1999999999999998E-2</v>
      </c>
    </row>
    <row r="23" spans="2:9" x14ac:dyDescent="0.2">
      <c r="C23" t="s">
        <v>249</v>
      </c>
      <c r="D23">
        <v>6.7140000000000004</v>
      </c>
      <c r="E23">
        <v>4.2869999999999999</v>
      </c>
      <c r="F23">
        <v>1.5660000000000001</v>
      </c>
      <c r="G23">
        <v>0.11700000000000001</v>
      </c>
      <c r="H23">
        <v>6.7140000000000004</v>
      </c>
      <c r="I23">
        <v>9.8000000000000004E-2</v>
      </c>
    </row>
    <row r="24" spans="2:9" x14ac:dyDescent="0.2">
      <c r="C24" t="s">
        <v>250</v>
      </c>
      <c r="D24">
        <v>1.869</v>
      </c>
      <c r="E24">
        <v>1.456</v>
      </c>
      <c r="F24">
        <v>1.2829999999999999</v>
      </c>
      <c r="G24">
        <v>0.19900000000000001</v>
      </c>
      <c r="H24">
        <v>1.869</v>
      </c>
      <c r="I24">
        <v>8.1000000000000003E-2</v>
      </c>
    </row>
    <row r="29" spans="2:9" x14ac:dyDescent="0.2">
      <c r="B29" t="s">
        <v>238</v>
      </c>
    </row>
    <row r="30" spans="2:9" x14ac:dyDescent="0.2">
      <c r="D30" t="s">
        <v>239</v>
      </c>
      <c r="E30" t="s">
        <v>240</v>
      </c>
      <c r="F30" t="s">
        <v>241</v>
      </c>
      <c r="G30" t="s">
        <v>242</v>
      </c>
      <c r="H30" t="s">
        <v>243</v>
      </c>
      <c r="I30" t="s">
        <v>244</v>
      </c>
    </row>
    <row r="31" spans="2:9" x14ac:dyDescent="0.2">
      <c r="C31" t="s">
        <v>253</v>
      </c>
      <c r="D31" t="s">
        <v>245</v>
      </c>
    </row>
    <row r="32" spans="2:9" x14ac:dyDescent="0.2">
      <c r="C32" t="s">
        <v>246</v>
      </c>
      <c r="D32">
        <v>2.9910000000000001</v>
      </c>
      <c r="E32">
        <v>0.25600000000000001</v>
      </c>
      <c r="F32">
        <v>11.693</v>
      </c>
      <c r="G32">
        <v>0</v>
      </c>
      <c r="H32">
        <v>2.9910000000000001</v>
      </c>
      <c r="I32">
        <v>0.70799999999999996</v>
      </c>
    </row>
    <row r="33" spans="2:10" x14ac:dyDescent="0.2">
      <c r="C33" t="s">
        <v>255</v>
      </c>
      <c r="D33" t="s">
        <v>245</v>
      </c>
    </row>
    <row r="34" spans="2:10" x14ac:dyDescent="0.2">
      <c r="C34" t="s">
        <v>254</v>
      </c>
      <c r="D34">
        <v>0.16800000000000001</v>
      </c>
      <c r="E34">
        <v>9.2999999999999999E-2</v>
      </c>
      <c r="F34">
        <v>1.8049999999999999</v>
      </c>
      <c r="G34">
        <v>7.0999999999999994E-2</v>
      </c>
      <c r="H34">
        <v>0.16800000000000001</v>
      </c>
      <c r="I34">
        <v>0.14499999999999999</v>
      </c>
    </row>
    <row r="35" spans="2:10" x14ac:dyDescent="0.2">
      <c r="C35" t="s">
        <v>246</v>
      </c>
      <c r="D35">
        <v>0.35799999999999998</v>
      </c>
      <c r="E35">
        <v>0.54400000000000004</v>
      </c>
      <c r="F35">
        <v>0.65800000000000003</v>
      </c>
      <c r="G35">
        <v>0.51</v>
      </c>
      <c r="H35">
        <v>0.35799999999999998</v>
      </c>
      <c r="I35">
        <v>7.2999999999999995E-2</v>
      </c>
    </row>
    <row r="36" spans="2:10" x14ac:dyDescent="0.2">
      <c r="C36" t="s">
        <v>247</v>
      </c>
      <c r="D36">
        <v>24.187999999999999</v>
      </c>
      <c r="E36">
        <v>3.3050000000000002</v>
      </c>
      <c r="F36">
        <v>7.319</v>
      </c>
      <c r="G36">
        <v>0</v>
      </c>
      <c r="H36">
        <v>24.187999999999999</v>
      </c>
      <c r="I36">
        <v>0.58199999999999996</v>
      </c>
    </row>
    <row r="37" spans="2:10" x14ac:dyDescent="0.2">
      <c r="C37" t="s">
        <v>248</v>
      </c>
      <c r="D37">
        <v>-0.377</v>
      </c>
      <c r="E37">
        <v>1.115</v>
      </c>
      <c r="F37">
        <v>-0.33800000000000002</v>
      </c>
      <c r="G37">
        <v>0.73499999999999999</v>
      </c>
      <c r="H37">
        <v>-0.377</v>
      </c>
      <c r="I37">
        <v>-3.4000000000000002E-2</v>
      </c>
    </row>
    <row r="38" spans="2:10" x14ac:dyDescent="0.2">
      <c r="C38" t="s">
        <v>249</v>
      </c>
      <c r="D38">
        <v>9.3539999999999992</v>
      </c>
      <c r="E38">
        <v>5.2350000000000003</v>
      </c>
      <c r="F38">
        <v>1.7869999999999999</v>
      </c>
      <c r="G38">
        <v>7.3999999999999996E-2</v>
      </c>
      <c r="H38">
        <v>9.3539999999999992</v>
      </c>
      <c r="I38">
        <v>0.13400000000000001</v>
      </c>
    </row>
    <row r="39" spans="2:10" x14ac:dyDescent="0.2">
      <c r="C39" t="s">
        <v>250</v>
      </c>
      <c r="D39">
        <v>-0.377</v>
      </c>
      <c r="E39">
        <v>2.2229999999999999</v>
      </c>
      <c r="F39">
        <v>-0.17</v>
      </c>
      <c r="G39">
        <v>0.86499999999999999</v>
      </c>
      <c r="H39">
        <v>-0.377</v>
      </c>
      <c r="I39">
        <v>-1.2999999999999999E-2</v>
      </c>
    </row>
    <row r="43" spans="2:10" x14ac:dyDescent="0.2">
      <c r="B43" t="s">
        <v>42</v>
      </c>
      <c r="C43" t="s">
        <v>43</v>
      </c>
      <c r="D43" t="s">
        <v>44</v>
      </c>
      <c r="E43" t="s">
        <v>45</v>
      </c>
      <c r="F43" t="s">
        <v>46</v>
      </c>
    </row>
    <row r="44" spans="2:10" x14ac:dyDescent="0.2">
      <c r="B44" t="s">
        <v>47</v>
      </c>
      <c r="C44" t="s">
        <v>47</v>
      </c>
      <c r="D44" t="s">
        <v>35</v>
      </c>
      <c r="E44" t="s">
        <v>45</v>
      </c>
      <c r="F44" t="s">
        <v>36</v>
      </c>
    </row>
    <row r="46" spans="2:10" x14ac:dyDescent="0.2">
      <c r="C46" t="s">
        <v>48</v>
      </c>
    </row>
    <row r="47" spans="2:10" x14ac:dyDescent="0.2">
      <c r="B47" t="s">
        <v>49</v>
      </c>
      <c r="C47" t="s">
        <v>54</v>
      </c>
      <c r="D47" t="s">
        <v>55</v>
      </c>
      <c r="E47" t="s">
        <v>56</v>
      </c>
      <c r="F47" t="s">
        <v>57</v>
      </c>
      <c r="G47" t="s">
        <v>58</v>
      </c>
      <c r="H47" t="s">
        <v>59</v>
      </c>
      <c r="I47" t="s">
        <v>60</v>
      </c>
    </row>
    <row r="48" spans="2:10" x14ac:dyDescent="0.2">
      <c r="C48">
        <v>0</v>
      </c>
      <c r="D48" s="156">
        <v>1562.366</v>
      </c>
      <c r="E48" s="156">
        <v>2951.5839999999998</v>
      </c>
      <c r="F48" s="156">
        <v>2692.1590000000001</v>
      </c>
      <c r="G48" s="156">
        <v>2279.4070000000002</v>
      </c>
      <c r="H48" s="156">
        <v>1879.989</v>
      </c>
      <c r="I48" s="156">
        <v>2193.9380000000001</v>
      </c>
      <c r="J48" s="156">
        <v>2297.2820000000002</v>
      </c>
    </row>
    <row r="49" spans="2:10" x14ac:dyDescent="0.2">
      <c r="C49">
        <v>1</v>
      </c>
      <c r="D49" s="156">
        <v>240.2088</v>
      </c>
      <c r="E49" s="156">
        <v>1643.6969999999999</v>
      </c>
      <c r="F49" s="156">
        <v>2620.69</v>
      </c>
      <c r="G49" s="156">
        <v>3505.761</v>
      </c>
      <c r="H49" s="156">
        <v>3530.5639999999999</v>
      </c>
      <c r="I49" s="156">
        <v>4031.2669999999998</v>
      </c>
      <c r="J49" s="156">
        <v>4002.9160000000002</v>
      </c>
    </row>
    <row r="50" spans="2:10" x14ac:dyDescent="0.2">
      <c r="C50">
        <v>2</v>
      </c>
      <c r="D50" s="156">
        <v>4.9758259999999996</v>
      </c>
      <c r="E50" s="156">
        <v>862.59320000000002</v>
      </c>
      <c r="F50" s="156">
        <v>3363.123</v>
      </c>
      <c r="G50" s="156">
        <v>5707.1049999999996</v>
      </c>
      <c r="H50" s="156">
        <v>7397.4040000000005</v>
      </c>
      <c r="I50" s="156">
        <v>9931.1929999999993</v>
      </c>
      <c r="J50" s="156">
        <v>9592.7530000000006</v>
      </c>
    </row>
    <row r="51" spans="2:10" x14ac:dyDescent="0.2">
      <c r="C51">
        <v>3</v>
      </c>
      <c r="D51" s="156">
        <v>3.6483400000000001</v>
      </c>
      <c r="E51" s="156">
        <v>338.86200000000002</v>
      </c>
      <c r="F51" s="156">
        <v>1546.509</v>
      </c>
      <c r="G51" s="156">
        <v>4026.65</v>
      </c>
      <c r="H51" s="156">
        <v>5669.8590000000004</v>
      </c>
      <c r="I51" s="156">
        <v>7651.4170000000004</v>
      </c>
      <c r="J51" s="156">
        <v>8090.7439999999997</v>
      </c>
    </row>
    <row r="52" spans="2:10" x14ac:dyDescent="0.2">
      <c r="C52" t="s">
        <v>64</v>
      </c>
      <c r="D52" s="156">
        <v>0</v>
      </c>
      <c r="E52" s="156">
        <v>115.4068</v>
      </c>
      <c r="F52" s="156">
        <v>1030.7539999999999</v>
      </c>
      <c r="G52" s="156">
        <v>3019.1170000000002</v>
      </c>
      <c r="H52" s="156">
        <v>4741.518</v>
      </c>
      <c r="I52" s="156">
        <v>7477.4979999999996</v>
      </c>
      <c r="J52" s="156">
        <v>10744.48</v>
      </c>
    </row>
    <row r="54" spans="2:10" x14ac:dyDescent="0.2">
      <c r="B54" t="s">
        <v>47</v>
      </c>
      <c r="C54" t="s">
        <v>47</v>
      </c>
      <c r="D54" t="s">
        <v>35</v>
      </c>
      <c r="E54" t="s">
        <v>45</v>
      </c>
      <c r="F54" t="s">
        <v>38</v>
      </c>
    </row>
    <row r="56" spans="2:10" x14ac:dyDescent="0.2">
      <c r="C56" t="s">
        <v>48</v>
      </c>
    </row>
    <row r="57" spans="2:10" x14ac:dyDescent="0.2">
      <c r="B57" t="s">
        <v>49</v>
      </c>
      <c r="C57" t="s">
        <v>54</v>
      </c>
      <c r="D57" t="s">
        <v>55</v>
      </c>
      <c r="E57" t="s">
        <v>56</v>
      </c>
      <c r="F57" t="s">
        <v>57</v>
      </c>
      <c r="G57" t="s">
        <v>58</v>
      </c>
      <c r="H57" t="s">
        <v>59</v>
      </c>
      <c r="I57" t="s">
        <v>60</v>
      </c>
    </row>
    <row r="58" spans="2:10" x14ac:dyDescent="0.2">
      <c r="C58">
        <v>0</v>
      </c>
      <c r="D58" s="156">
        <v>9457.7790000000005</v>
      </c>
      <c r="E58" s="156">
        <v>53046.59</v>
      </c>
      <c r="F58" s="156">
        <v>45106.06</v>
      </c>
      <c r="G58" s="156">
        <v>25648.080000000002</v>
      </c>
      <c r="H58" s="156">
        <v>17896.54</v>
      </c>
      <c r="I58" s="156">
        <v>14974.06</v>
      </c>
      <c r="J58" s="156">
        <v>13887.21</v>
      </c>
    </row>
    <row r="59" spans="2:10" x14ac:dyDescent="0.2">
      <c r="C59">
        <v>1</v>
      </c>
      <c r="D59" s="156">
        <v>637.00760000000002</v>
      </c>
      <c r="E59" s="156">
        <v>14638.95</v>
      </c>
      <c r="F59" s="156">
        <v>34664.03</v>
      </c>
      <c r="G59" s="156">
        <v>37920.75</v>
      </c>
      <c r="H59" s="156">
        <v>27590.51</v>
      </c>
      <c r="I59" s="156">
        <v>23279.95</v>
      </c>
      <c r="J59" s="156">
        <v>21102.959999999999</v>
      </c>
    </row>
    <row r="60" spans="2:10" x14ac:dyDescent="0.2">
      <c r="C60">
        <v>2</v>
      </c>
      <c r="D60" s="156">
        <v>84.649860000000004</v>
      </c>
      <c r="E60" s="156">
        <v>3853.75</v>
      </c>
      <c r="F60" s="156">
        <v>18526.41</v>
      </c>
      <c r="G60" s="156">
        <v>36998.76</v>
      </c>
      <c r="H60" s="156">
        <v>44572.2</v>
      </c>
      <c r="I60" s="156">
        <v>47382.34</v>
      </c>
      <c r="J60" s="156">
        <v>47475.13</v>
      </c>
    </row>
    <row r="61" spans="2:10" x14ac:dyDescent="0.2">
      <c r="C61">
        <v>3</v>
      </c>
      <c r="D61" s="156">
        <v>10.046519999999999</v>
      </c>
      <c r="E61" s="156">
        <v>621.6875</v>
      </c>
      <c r="F61" s="156">
        <v>5409.2790000000005</v>
      </c>
      <c r="G61" s="156">
        <v>13805.93</v>
      </c>
      <c r="H61" s="156">
        <v>20652.400000000001</v>
      </c>
      <c r="I61" s="156">
        <v>23749.45</v>
      </c>
      <c r="J61" s="156">
        <v>27016.3</v>
      </c>
    </row>
    <row r="62" spans="2:10" x14ac:dyDescent="0.2">
      <c r="C62" t="s">
        <v>64</v>
      </c>
      <c r="D62" s="156">
        <v>4.9216470000000001</v>
      </c>
      <c r="E62" s="156">
        <v>169.47399999999999</v>
      </c>
      <c r="F62" s="156">
        <v>1379.14</v>
      </c>
      <c r="G62" s="156">
        <v>4847.4489999999996</v>
      </c>
      <c r="H62" s="156">
        <v>7305.2809999999999</v>
      </c>
      <c r="I62" s="156">
        <v>11047.96</v>
      </c>
      <c r="J62" s="156">
        <v>13578.29</v>
      </c>
    </row>
    <row r="64" spans="2:10" x14ac:dyDescent="0.2">
      <c r="B64" t="s">
        <v>47</v>
      </c>
      <c r="C64" t="s">
        <v>47</v>
      </c>
      <c r="D64" t="s">
        <v>35</v>
      </c>
      <c r="E64" t="s">
        <v>45</v>
      </c>
      <c r="F64" t="s">
        <v>40</v>
      </c>
    </row>
    <row r="66" spans="2:10" x14ac:dyDescent="0.2">
      <c r="C66" t="s">
        <v>48</v>
      </c>
    </row>
    <row r="67" spans="2:10" x14ac:dyDescent="0.2">
      <c r="B67" t="s">
        <v>49</v>
      </c>
      <c r="C67" t="s">
        <v>54</v>
      </c>
      <c r="D67" t="s">
        <v>55</v>
      </c>
      <c r="E67" t="s">
        <v>56</v>
      </c>
      <c r="F67" t="s">
        <v>57</v>
      </c>
      <c r="G67" t="s">
        <v>58</v>
      </c>
      <c r="H67" t="s">
        <v>59</v>
      </c>
      <c r="I67" t="s">
        <v>60</v>
      </c>
    </row>
    <row r="68" spans="2:10" x14ac:dyDescent="0.2">
      <c r="C68">
        <v>0</v>
      </c>
      <c r="D68" s="156">
        <v>604.48239999999998</v>
      </c>
      <c r="E68" s="156">
        <v>35919.230000000003</v>
      </c>
      <c r="F68" s="156">
        <v>107757.1</v>
      </c>
      <c r="G68" s="156">
        <v>93031.58</v>
      </c>
      <c r="H68" s="156">
        <v>59310.68</v>
      </c>
      <c r="I68" s="156">
        <v>52452.959999999999</v>
      </c>
      <c r="J68" s="156">
        <v>47864.62</v>
      </c>
    </row>
    <row r="69" spans="2:10" x14ac:dyDescent="0.2">
      <c r="C69">
        <v>1</v>
      </c>
      <c r="D69" s="156">
        <v>95.290729999999996</v>
      </c>
      <c r="E69" s="156">
        <v>5540.5230000000001</v>
      </c>
      <c r="F69" s="156">
        <v>37285.25</v>
      </c>
      <c r="G69" s="156">
        <v>71922.92</v>
      </c>
      <c r="H69" s="156">
        <v>69125.91</v>
      </c>
      <c r="I69" s="156">
        <v>60522.1</v>
      </c>
      <c r="J69" s="156">
        <v>50803.3</v>
      </c>
    </row>
    <row r="70" spans="2:10" x14ac:dyDescent="0.2">
      <c r="C70">
        <v>2</v>
      </c>
      <c r="D70" s="156">
        <v>24.703859999999999</v>
      </c>
      <c r="E70" s="156">
        <v>772.46289999999999</v>
      </c>
      <c r="F70" s="156">
        <v>11074.87</v>
      </c>
      <c r="G70" s="156">
        <v>43129.79</v>
      </c>
      <c r="H70" s="156">
        <v>76011.63</v>
      </c>
      <c r="I70" s="156">
        <v>94673.16</v>
      </c>
      <c r="J70" s="156">
        <v>98011.64</v>
      </c>
    </row>
    <row r="71" spans="2:10" x14ac:dyDescent="0.2">
      <c r="C71">
        <v>3</v>
      </c>
      <c r="D71" s="156">
        <v>0</v>
      </c>
      <c r="E71" s="156">
        <v>91.980760000000004</v>
      </c>
      <c r="F71" s="156">
        <v>1908.0070000000001</v>
      </c>
      <c r="G71" s="156">
        <v>10568.5</v>
      </c>
      <c r="H71" s="156">
        <v>21298.71</v>
      </c>
      <c r="I71" s="156">
        <v>33473.410000000003</v>
      </c>
      <c r="J71" s="156">
        <v>40906.18</v>
      </c>
    </row>
    <row r="72" spans="2:10" x14ac:dyDescent="0.2">
      <c r="C72" t="s">
        <v>64</v>
      </c>
      <c r="D72" s="156">
        <v>0</v>
      </c>
      <c r="E72" s="156">
        <v>0</v>
      </c>
      <c r="F72" s="156">
        <v>186.97</v>
      </c>
      <c r="G72" s="156">
        <v>1816.8979999999999</v>
      </c>
      <c r="H72" s="156">
        <v>4060.59</v>
      </c>
      <c r="I72" s="156">
        <v>7278.4610000000002</v>
      </c>
      <c r="J72" s="156">
        <v>9821.57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0B8D7-CEFE-2345-849E-ED5C93A1AC83}">
  <dimension ref="A1:X57"/>
  <sheetViews>
    <sheetView showGridLines="0" topLeftCell="A40" zoomScale="137" workbookViewId="0">
      <selection activeCell="C55" sqref="C55:E55"/>
    </sheetView>
  </sheetViews>
  <sheetFormatPr baseColWidth="10" defaultColWidth="8.83203125" defaultRowHeight="15" x14ac:dyDescent="0.2"/>
  <cols>
    <col min="1" max="10" width="8.83203125" style="1"/>
    <col min="11" max="11" width="19" style="1" customWidth="1"/>
    <col min="12" max="13" width="12.6640625" style="1" customWidth="1"/>
    <col min="14" max="16384" width="8.83203125" style="1"/>
  </cols>
  <sheetData>
    <row r="1" spans="1:17" x14ac:dyDescent="0.2">
      <c r="B1" s="2">
        <v>2000</v>
      </c>
      <c r="F1" s="3"/>
    </row>
    <row r="2" spans="1:17" ht="17" customHeight="1" thickBot="1" x14ac:dyDescent="0.25">
      <c r="A2" s="4"/>
      <c r="B2" s="1" t="s">
        <v>0</v>
      </c>
      <c r="C2" s="1" t="s">
        <v>1</v>
      </c>
      <c r="F2" s="4"/>
      <c r="G2" s="1" t="s">
        <v>2</v>
      </c>
      <c r="H2" s="1" t="s">
        <v>1</v>
      </c>
      <c r="K2" s="5"/>
      <c r="L2" s="184" t="s">
        <v>264</v>
      </c>
      <c r="M2" s="184"/>
      <c r="N2" s="5" t="s">
        <v>265</v>
      </c>
      <c r="O2" s="5"/>
    </row>
    <row r="3" spans="1:17" ht="17" thickTop="1" x14ac:dyDescent="0.2">
      <c r="A3" s="4">
        <v>1</v>
      </c>
      <c r="B3" s="1" t="s">
        <v>3</v>
      </c>
      <c r="C3" s="6">
        <v>1522407.3</v>
      </c>
      <c r="D3" s="7">
        <f>C3/SUM($C$3:$C$4)</f>
        <v>0.91178607818815605</v>
      </c>
      <c r="F3" s="4">
        <v>1</v>
      </c>
      <c r="G3" s="1" t="s">
        <v>3</v>
      </c>
      <c r="H3" s="1">
        <v>1800750.6</v>
      </c>
      <c r="I3" s="7">
        <f>H3/SUM($H$3:$H$4)</f>
        <v>0.92705869125148788</v>
      </c>
      <c r="K3" s="8" t="s">
        <v>4</v>
      </c>
      <c r="L3" s="9">
        <v>2000</v>
      </c>
      <c r="M3" s="9">
        <v>2010</v>
      </c>
      <c r="N3" s="9">
        <v>2000</v>
      </c>
      <c r="O3" s="9">
        <v>2010</v>
      </c>
    </row>
    <row r="4" spans="1:17" ht="14.25" customHeight="1" x14ac:dyDescent="0.2">
      <c r="A4" s="4">
        <v>2</v>
      </c>
      <c r="B4" s="10" t="s">
        <v>5</v>
      </c>
      <c r="C4" s="6">
        <v>147290.6</v>
      </c>
      <c r="D4" s="7">
        <f>C4/SUM($C$3:$C$4)</f>
        <v>8.8213921811843926E-2</v>
      </c>
      <c r="F4" s="4">
        <v>2</v>
      </c>
      <c r="G4" s="10" t="s">
        <v>5</v>
      </c>
      <c r="H4" s="1">
        <v>141683.70000000001</v>
      </c>
      <c r="I4" s="7">
        <f t="shared" ref="I4:I19" si="0">H4/SUM($H$3:$H$4)</f>
        <v>7.294130874851211E-2</v>
      </c>
      <c r="K4" s="11" t="str">
        <f>B3</f>
        <v>Urbana</v>
      </c>
      <c r="L4" s="12">
        <f>D3</f>
        <v>0.91178607818815605</v>
      </c>
      <c r="M4" s="12">
        <f>I3</f>
        <v>0.92705869125148788</v>
      </c>
      <c r="N4" s="6">
        <f>C3</f>
        <v>1522407.3</v>
      </c>
      <c r="O4" s="6">
        <f>H3</f>
        <v>1800750.6</v>
      </c>
    </row>
    <row r="5" spans="1:17" ht="16" x14ac:dyDescent="0.2">
      <c r="A5" s="13"/>
      <c r="C5" s="6"/>
      <c r="F5" s="13"/>
      <c r="I5" s="7"/>
      <c r="K5" s="11" t="str">
        <f>B4</f>
        <v>Rural</v>
      </c>
      <c r="L5" s="12">
        <f>D4</f>
        <v>8.8213921811843926E-2</v>
      </c>
      <c r="M5" s="12">
        <f>I4</f>
        <v>7.294130874851211E-2</v>
      </c>
      <c r="N5" s="6">
        <f>C4</f>
        <v>147290.6</v>
      </c>
      <c r="O5" s="6">
        <f>H4</f>
        <v>141683.70000000001</v>
      </c>
    </row>
    <row r="6" spans="1:17" ht="17" thickBot="1" x14ac:dyDescent="0.25">
      <c r="A6" s="14"/>
      <c r="B6" s="1" t="s">
        <v>6</v>
      </c>
      <c r="C6" s="6" t="s">
        <v>1</v>
      </c>
      <c r="F6" s="14"/>
      <c r="G6" s="1" t="s">
        <v>7</v>
      </c>
      <c r="H6" s="1" t="s">
        <v>1</v>
      </c>
      <c r="I6" s="7"/>
      <c r="K6" s="15"/>
      <c r="L6" s="16"/>
      <c r="M6" s="16"/>
      <c r="N6" s="135"/>
      <c r="O6" s="135"/>
    </row>
    <row r="7" spans="1:17" ht="17" thickTop="1" x14ac:dyDescent="0.2">
      <c r="A7" s="14">
        <v>1</v>
      </c>
      <c r="B7" s="10" t="s">
        <v>9</v>
      </c>
      <c r="C7" s="6">
        <v>1035683.721</v>
      </c>
      <c r="D7" s="7">
        <f>C7/SUM($C$7:$C$11)</f>
        <v>0.62347310109111176</v>
      </c>
      <c r="F7" s="14">
        <v>1</v>
      </c>
      <c r="G7" s="10" t="s">
        <v>9</v>
      </c>
      <c r="H7" s="6">
        <v>1082723.7649999999</v>
      </c>
      <c r="I7" s="7">
        <f t="shared" si="0"/>
        <v>0.55740560440062237</v>
      </c>
      <c r="K7" s="9" t="s">
        <v>10</v>
      </c>
      <c r="L7" s="9">
        <v>2000</v>
      </c>
      <c r="M7" s="9">
        <v>2010</v>
      </c>
      <c r="N7" s="20">
        <v>2000</v>
      </c>
      <c r="O7" s="20">
        <v>2010</v>
      </c>
    </row>
    <row r="8" spans="1:17" ht="16" x14ac:dyDescent="0.2">
      <c r="A8" s="14">
        <v>2</v>
      </c>
      <c r="B8" s="10" t="s">
        <v>11</v>
      </c>
      <c r="C8" s="6">
        <v>77406.725000000006</v>
      </c>
      <c r="D8" s="7">
        <f t="shared" ref="D8:D11" si="1">C8/SUM($C$7:$C$11)</f>
        <v>4.6598213240678032E-2</v>
      </c>
      <c r="F8" s="14">
        <v>2</v>
      </c>
      <c r="G8" s="10" t="s">
        <v>11</v>
      </c>
      <c r="H8" s="6">
        <v>121677.068</v>
      </c>
      <c r="I8" s="7">
        <f t="shared" si="0"/>
        <v>6.2641535932515188E-2</v>
      </c>
      <c r="K8" s="11" t="str">
        <f>G7</f>
        <v>Branca</v>
      </c>
      <c r="L8" s="17">
        <f>D7</f>
        <v>0.62347310109111176</v>
      </c>
      <c r="M8" s="17">
        <f>I7</f>
        <v>0.55740560440062237</v>
      </c>
      <c r="N8" s="6">
        <f>C7</f>
        <v>1035683.721</v>
      </c>
      <c r="O8" s="6">
        <f>H7</f>
        <v>1082723.7649999999</v>
      </c>
    </row>
    <row r="9" spans="1:17" ht="16" x14ac:dyDescent="0.2">
      <c r="A9" s="14">
        <v>3</v>
      </c>
      <c r="B9" s="10" t="s">
        <v>12</v>
      </c>
      <c r="C9" s="6">
        <v>8056.4350000000004</v>
      </c>
      <c r="D9" s="7">
        <f t="shared" si="1"/>
        <v>4.8499077578810102E-3</v>
      </c>
      <c r="F9" s="14">
        <v>3</v>
      </c>
      <c r="G9" s="10" t="s">
        <v>12</v>
      </c>
      <c r="H9" s="6">
        <v>22824.858</v>
      </c>
      <c r="I9" s="7">
        <f t="shared" si="0"/>
        <v>1.1750646083628156E-2</v>
      </c>
      <c r="K9" s="11" t="s">
        <v>257</v>
      </c>
      <c r="L9" s="17">
        <f>D8+D10</f>
        <v>0.36911510731564434</v>
      </c>
      <c r="M9" s="17">
        <f>I8+I10</f>
        <v>0.42845938006757811</v>
      </c>
      <c r="N9" s="6">
        <f>C8+C10</f>
        <v>613156.37699999998</v>
      </c>
      <c r="O9" s="6">
        <f>H8+H10</f>
        <v>832254.196</v>
      </c>
    </row>
    <row r="10" spans="1:17" ht="16" x14ac:dyDescent="0.2">
      <c r="A10" s="14">
        <v>4</v>
      </c>
      <c r="B10" s="1" t="s">
        <v>13</v>
      </c>
      <c r="C10" s="6">
        <v>535749.652</v>
      </c>
      <c r="D10" s="7">
        <f t="shared" si="1"/>
        <v>0.32251689407496631</v>
      </c>
      <c r="F10" s="14">
        <v>4</v>
      </c>
      <c r="G10" s="1" t="s">
        <v>13</v>
      </c>
      <c r="H10" s="6">
        <v>710577.12800000003</v>
      </c>
      <c r="I10" s="7">
        <f t="shared" si="0"/>
        <v>0.36581784413506291</v>
      </c>
      <c r="K10" s="11" t="s">
        <v>258</v>
      </c>
      <c r="L10" s="17">
        <f>D9+D11</f>
        <v>7.4117915932438352E-3</v>
      </c>
      <c r="M10" s="17">
        <f>I9+I11+I12</f>
        <v>1.4134980009362478E-2</v>
      </c>
      <c r="N10" s="6">
        <f>C9+C11</f>
        <v>12312.114000000001</v>
      </c>
      <c r="O10" s="6">
        <f>H9+H11</f>
        <v>27456.27</v>
      </c>
      <c r="Q10" s="1" t="s">
        <v>259</v>
      </c>
    </row>
    <row r="11" spans="1:17" ht="17" thickBot="1" x14ac:dyDescent="0.25">
      <c r="A11" s="14">
        <v>5</v>
      </c>
      <c r="B11" s="10" t="s">
        <v>14</v>
      </c>
      <c r="C11" s="6">
        <v>4255.6790000000001</v>
      </c>
      <c r="D11" s="7">
        <f t="shared" si="1"/>
        <v>2.5618838353628245E-3</v>
      </c>
      <c r="F11" s="14">
        <v>5</v>
      </c>
      <c r="G11" s="10" t="s">
        <v>14</v>
      </c>
      <c r="H11" s="6">
        <v>4631.4120000000003</v>
      </c>
      <c r="I11" s="7">
        <f t="shared" si="0"/>
        <v>2.3843339257343223E-3</v>
      </c>
      <c r="K11" s="15"/>
      <c r="L11" s="16"/>
      <c r="M11" s="136"/>
      <c r="N11" s="135"/>
      <c r="O11" s="135"/>
    </row>
    <row r="12" spans="1:17" ht="17" thickTop="1" x14ac:dyDescent="0.2">
      <c r="A12" s="14">
        <v>6</v>
      </c>
      <c r="B12" s="10" t="s">
        <v>15</v>
      </c>
      <c r="C12" s="6">
        <v>8545.7099999999991</v>
      </c>
      <c r="D12" s="7">
        <f>C12/SUM(C7:C12)</f>
        <v>5.1181174075869747E-3</v>
      </c>
      <c r="F12" s="13"/>
      <c r="G12" s="10" t="s">
        <v>15</v>
      </c>
      <c r="H12" s="1">
        <v>0</v>
      </c>
      <c r="I12" s="7">
        <f t="shared" si="0"/>
        <v>0</v>
      </c>
      <c r="K12" s="9" t="s">
        <v>18</v>
      </c>
      <c r="L12" s="9">
        <v>2000</v>
      </c>
      <c r="M12" s="20">
        <v>2010</v>
      </c>
      <c r="N12" s="20">
        <v>2000</v>
      </c>
      <c r="O12" s="20">
        <v>2010</v>
      </c>
    </row>
    <row r="13" spans="1:17" ht="16" x14ac:dyDescent="0.2">
      <c r="A13" s="13"/>
      <c r="C13" s="6"/>
      <c r="I13" s="7"/>
      <c r="K13" s="18" t="str">
        <f>B15</f>
        <v>Norte</v>
      </c>
      <c r="L13" s="19">
        <f>D15</f>
        <v>9.3141819247661503E-2</v>
      </c>
      <c r="M13" s="19">
        <f>I15</f>
        <v>0.10614974210453347</v>
      </c>
      <c r="N13" s="6">
        <f>C15</f>
        <v>155518.70000000001</v>
      </c>
      <c r="O13" s="6">
        <f>H15</f>
        <v>206188.9</v>
      </c>
    </row>
    <row r="14" spans="1:17" ht="16" x14ac:dyDescent="0.2">
      <c r="A14" s="14"/>
      <c r="B14" s="1" t="s">
        <v>16</v>
      </c>
      <c r="C14" s="6" t="s">
        <v>1</v>
      </c>
      <c r="F14" s="14"/>
      <c r="G14" s="1" t="s">
        <v>16</v>
      </c>
      <c r="H14" s="1" t="s">
        <v>1</v>
      </c>
      <c r="I14" s="7"/>
      <c r="K14" s="18" t="str">
        <f>B16</f>
        <v>Nordeste</v>
      </c>
      <c r="L14" s="19">
        <f>D16</f>
        <v>0.25304337988327108</v>
      </c>
      <c r="M14" s="19">
        <f>I16</f>
        <v>0.238541504338139</v>
      </c>
      <c r="N14" s="6">
        <f t="shared" ref="N14:N17" si="2">C16</f>
        <v>422506</v>
      </c>
      <c r="O14" s="6">
        <f t="shared" ref="O14:O17" si="3">H16</f>
        <v>463351.2</v>
      </c>
    </row>
    <row r="15" spans="1:17" ht="16" x14ac:dyDescent="0.2">
      <c r="A15" s="14">
        <v>1</v>
      </c>
      <c r="B15" s="1" t="s">
        <v>17</v>
      </c>
      <c r="C15" s="6">
        <v>155518.70000000001</v>
      </c>
      <c r="D15" s="7">
        <f t="shared" ref="D15:D19" si="4">C15/SUM($C$3:$C$4)</f>
        <v>9.3141819247661503E-2</v>
      </c>
      <c r="F15" s="14">
        <v>1</v>
      </c>
      <c r="G15" s="1" t="s">
        <v>17</v>
      </c>
      <c r="H15" s="1">
        <v>206188.9</v>
      </c>
      <c r="I15" s="7">
        <f t="shared" si="0"/>
        <v>0.10614974210453347</v>
      </c>
      <c r="K15" s="18" t="str">
        <f>B17</f>
        <v>Sudeste</v>
      </c>
      <c r="L15" s="19">
        <f>D17</f>
        <v>0.41177233318673995</v>
      </c>
      <c r="M15" s="19">
        <f>I17</f>
        <v>0.37773710029729191</v>
      </c>
      <c r="N15" s="6">
        <f t="shared" si="2"/>
        <v>687535.4</v>
      </c>
      <c r="O15" s="6">
        <f t="shared" si="3"/>
        <v>733729.5</v>
      </c>
    </row>
    <row r="16" spans="1:17" ht="16" x14ac:dyDescent="0.2">
      <c r="A16" s="14">
        <v>2</v>
      </c>
      <c r="B16" s="10" t="s">
        <v>19</v>
      </c>
      <c r="C16" s="6">
        <v>422506</v>
      </c>
      <c r="D16" s="7">
        <f t="shared" si="4"/>
        <v>0.25304337988327108</v>
      </c>
      <c r="F16" s="14">
        <v>2</v>
      </c>
      <c r="G16" s="10" t="s">
        <v>19</v>
      </c>
      <c r="H16" s="1">
        <v>463351.2</v>
      </c>
      <c r="I16" s="7">
        <f t="shared" si="0"/>
        <v>0.238541504338139</v>
      </c>
      <c r="K16" s="18" t="str">
        <f>B18</f>
        <v>Sul</v>
      </c>
      <c r="L16" s="19">
        <f>D18</f>
        <v>0.13419625190880338</v>
      </c>
      <c r="M16" s="19">
        <f>I18</f>
        <v>0.14932268236820159</v>
      </c>
      <c r="N16" s="6">
        <f t="shared" si="2"/>
        <v>224067.20000000001</v>
      </c>
      <c r="O16" s="6">
        <f t="shared" si="3"/>
        <v>290049.5</v>
      </c>
    </row>
    <row r="17" spans="1:15" ht="17" thickBot="1" x14ac:dyDescent="0.25">
      <c r="A17" s="14">
        <v>3</v>
      </c>
      <c r="B17" s="10" t="s">
        <v>20</v>
      </c>
      <c r="C17" s="6">
        <v>687535.4</v>
      </c>
      <c r="D17" s="7">
        <f t="shared" si="4"/>
        <v>0.41177233318673995</v>
      </c>
      <c r="F17" s="14">
        <v>3</v>
      </c>
      <c r="G17" s="10" t="s">
        <v>20</v>
      </c>
      <c r="H17" s="1">
        <v>733729.5</v>
      </c>
      <c r="I17" s="7">
        <f t="shared" si="0"/>
        <v>0.37773710029729191</v>
      </c>
      <c r="K17" s="153" t="str">
        <f>B19</f>
        <v>Centro-Oeste</v>
      </c>
      <c r="L17" s="154">
        <f>D19</f>
        <v>0.10784627566459777</v>
      </c>
      <c r="M17" s="154">
        <f>I19</f>
        <v>0.12824897089183404</v>
      </c>
      <c r="N17" s="155">
        <f t="shared" si="2"/>
        <v>180070.7</v>
      </c>
      <c r="O17" s="155">
        <f t="shared" si="3"/>
        <v>249115.2</v>
      </c>
    </row>
    <row r="18" spans="1:15" ht="18" thickTop="1" thickBot="1" x14ac:dyDescent="0.25">
      <c r="A18" s="14">
        <v>4</v>
      </c>
      <c r="B18" s="10" t="s">
        <v>21</v>
      </c>
      <c r="C18" s="6">
        <v>224067.20000000001</v>
      </c>
      <c r="D18" s="7">
        <f t="shared" si="4"/>
        <v>0.13419625190880338</v>
      </c>
      <c r="F18" s="14">
        <v>4</v>
      </c>
      <c r="G18" s="10" t="s">
        <v>21</v>
      </c>
      <c r="H18" s="1">
        <v>290049.5</v>
      </c>
      <c r="I18" s="7">
        <f t="shared" si="0"/>
        <v>0.14932268236820159</v>
      </c>
      <c r="K18" s="15" t="s">
        <v>8</v>
      </c>
      <c r="L18" s="16">
        <v>1</v>
      </c>
      <c r="M18" s="136">
        <v>1</v>
      </c>
      <c r="N18" s="155">
        <f>SUM(N13:N17)</f>
        <v>1669698</v>
      </c>
      <c r="O18" s="155">
        <f>SUM(O13:O17)</f>
        <v>1942434.3</v>
      </c>
    </row>
    <row r="19" spans="1:15" ht="17" thickTop="1" x14ac:dyDescent="0.2">
      <c r="A19" s="14">
        <v>5</v>
      </c>
      <c r="B19" s="10" t="s">
        <v>22</v>
      </c>
      <c r="C19" s="6">
        <v>180070.7</v>
      </c>
      <c r="D19" s="7">
        <f t="shared" si="4"/>
        <v>0.10784627566459777</v>
      </c>
      <c r="F19" s="14">
        <v>5</v>
      </c>
      <c r="G19" s="10" t="s">
        <v>22</v>
      </c>
      <c r="H19" s="1">
        <v>249115.2</v>
      </c>
      <c r="I19" s="7">
        <f t="shared" si="0"/>
        <v>0.12824897089183404</v>
      </c>
    </row>
    <row r="22" spans="1:15" x14ac:dyDescent="0.2">
      <c r="K22" s="20"/>
      <c r="L22" s="21"/>
      <c r="M22" s="21"/>
    </row>
    <row r="24" spans="1:15" ht="16" thickBot="1" x14ac:dyDescent="0.25">
      <c r="A24" s="4"/>
      <c r="B24" s="1" t="s">
        <v>23</v>
      </c>
      <c r="C24" s="1" t="s">
        <v>1</v>
      </c>
      <c r="F24" s="4"/>
      <c r="G24" s="1" t="s">
        <v>23</v>
      </c>
      <c r="H24" s="1" t="s">
        <v>1</v>
      </c>
      <c r="K24" s="5"/>
      <c r="L24" s="184" t="s">
        <v>264</v>
      </c>
      <c r="M24" s="184"/>
      <c r="N24" s="5" t="s">
        <v>265</v>
      </c>
      <c r="O24" s="5"/>
    </row>
    <row r="25" spans="1:15" ht="33" thickTop="1" x14ac:dyDescent="0.2">
      <c r="A25" s="4">
        <v>1</v>
      </c>
      <c r="B25" s="10" t="s">
        <v>24</v>
      </c>
      <c r="C25" s="1">
        <v>236518</v>
      </c>
      <c r="D25" s="22">
        <f>C25/SUM($C$25:$C$29)</f>
        <v>0.14165316123035424</v>
      </c>
      <c r="F25" s="4">
        <v>1</v>
      </c>
      <c r="G25" s="1" t="s">
        <v>25</v>
      </c>
      <c r="H25" s="1">
        <v>337447.6</v>
      </c>
      <c r="I25" s="22">
        <f>H25/SUM($H$25:$H$29)</f>
        <v>0.17372407396224418</v>
      </c>
      <c r="K25" s="23" t="s">
        <v>26</v>
      </c>
      <c r="L25" s="9">
        <v>2000</v>
      </c>
      <c r="M25" s="9">
        <v>2010</v>
      </c>
      <c r="N25" s="9">
        <v>2000</v>
      </c>
      <c r="O25" s="9">
        <v>2010</v>
      </c>
    </row>
    <row r="26" spans="1:15" ht="16" x14ac:dyDescent="0.2">
      <c r="A26" s="4">
        <v>2</v>
      </c>
      <c r="B26" s="10" t="s">
        <v>27</v>
      </c>
      <c r="C26" s="1">
        <v>359161</v>
      </c>
      <c r="D26" s="22">
        <f>C26/SUM($C$25:$C$29)</f>
        <v>0.21510536635966504</v>
      </c>
      <c r="F26" s="4">
        <v>2</v>
      </c>
      <c r="G26" s="1" t="s">
        <v>28</v>
      </c>
      <c r="H26" s="1">
        <v>523376.5</v>
      </c>
      <c r="I26" s="22">
        <f t="shared" ref="I26:I29" si="5">H26/SUM($H$25:$H$29)</f>
        <v>0.26944360486220825</v>
      </c>
      <c r="K26" s="18" t="str">
        <f>B25</f>
        <v>Até 1</v>
      </c>
      <c r="L26" s="19">
        <f>D25</f>
        <v>0.14165316123035424</v>
      </c>
      <c r="M26" s="19">
        <f>I25</f>
        <v>0.17372407396224418</v>
      </c>
      <c r="N26" s="6">
        <f>C25</f>
        <v>236518</v>
      </c>
      <c r="O26" s="6">
        <f>H25</f>
        <v>337447.6</v>
      </c>
    </row>
    <row r="27" spans="1:15" ht="16" x14ac:dyDescent="0.2">
      <c r="A27" s="4">
        <v>3</v>
      </c>
      <c r="B27" s="10" t="s">
        <v>29</v>
      </c>
      <c r="C27" s="1">
        <v>434388.5</v>
      </c>
      <c r="D27" s="22">
        <f>C27/SUM($C$25:$C$29)</f>
        <v>0.26015992113543884</v>
      </c>
      <c r="F27" s="4">
        <v>3</v>
      </c>
      <c r="G27" s="1" t="s">
        <v>30</v>
      </c>
      <c r="H27" s="1">
        <v>532591.9</v>
      </c>
      <c r="I27" s="22">
        <f t="shared" si="5"/>
        <v>0.27418785798829853</v>
      </c>
      <c r="K27" s="18" t="str">
        <f t="shared" ref="K27:K30" si="6">B26</f>
        <v>Até 2</v>
      </c>
      <c r="L27" s="19">
        <f t="shared" ref="L27:L30" si="7">D26</f>
        <v>0.21510536635966504</v>
      </c>
      <c r="M27" s="19">
        <f t="shared" ref="M27:M30" si="8">I26</f>
        <v>0.26944360486220825</v>
      </c>
      <c r="N27" s="6">
        <f t="shared" ref="N27:N30" si="9">C26</f>
        <v>359161</v>
      </c>
      <c r="O27" s="6">
        <f t="shared" ref="O27:O30" si="10">H26</f>
        <v>523376.5</v>
      </c>
    </row>
    <row r="28" spans="1:15" ht="16" x14ac:dyDescent="0.2">
      <c r="A28" s="4">
        <v>4</v>
      </c>
      <c r="B28" s="10" t="s">
        <v>31</v>
      </c>
      <c r="C28" s="1">
        <v>304942.2</v>
      </c>
      <c r="D28" s="22">
        <f>C28/SUM($C$25:$C$29)</f>
        <v>0.18263314683254098</v>
      </c>
      <c r="F28" s="4">
        <v>4</v>
      </c>
      <c r="G28" s="1" t="s">
        <v>32</v>
      </c>
      <c r="H28" s="1">
        <v>300253.40000000002</v>
      </c>
      <c r="I28" s="22">
        <f t="shared" si="5"/>
        <v>0.15457583301530459</v>
      </c>
      <c r="K28" s="18" t="str">
        <f t="shared" si="6"/>
        <v>Até 4</v>
      </c>
      <c r="L28" s="19">
        <f t="shared" si="7"/>
        <v>0.26015992113543884</v>
      </c>
      <c r="M28" s="19">
        <f t="shared" si="8"/>
        <v>0.27418785798829853</v>
      </c>
      <c r="N28" s="6">
        <f t="shared" si="9"/>
        <v>434388.5</v>
      </c>
      <c r="O28" s="6">
        <f t="shared" si="10"/>
        <v>532591.9</v>
      </c>
    </row>
    <row r="29" spans="1:15" ht="16" x14ac:dyDescent="0.2">
      <c r="A29" s="14">
        <v>5</v>
      </c>
      <c r="B29" s="10" t="s">
        <v>33</v>
      </c>
      <c r="C29" s="1">
        <v>334688.3</v>
      </c>
      <c r="D29" s="22">
        <f>C29/SUM($C$25:$C$29)</f>
        <v>0.20044840444200088</v>
      </c>
      <c r="F29" s="14">
        <v>5</v>
      </c>
      <c r="G29" s="1" t="s">
        <v>34</v>
      </c>
      <c r="H29" s="1">
        <v>248764.9</v>
      </c>
      <c r="I29" s="22">
        <f t="shared" si="5"/>
        <v>0.12806863017194456</v>
      </c>
      <c r="K29" s="18" t="str">
        <f t="shared" si="6"/>
        <v>Até 7</v>
      </c>
      <c r="L29" s="19">
        <f t="shared" si="7"/>
        <v>0.18263314683254098</v>
      </c>
      <c r="M29" s="19">
        <f t="shared" si="8"/>
        <v>0.15457583301530459</v>
      </c>
      <c r="N29" s="6">
        <f t="shared" si="9"/>
        <v>304942.2</v>
      </c>
      <c r="O29" s="6">
        <f t="shared" si="10"/>
        <v>300253.40000000002</v>
      </c>
    </row>
    <row r="30" spans="1:15" x14ac:dyDescent="0.2">
      <c r="K30" s="18" t="str">
        <f t="shared" si="6"/>
        <v>8 ou mais</v>
      </c>
      <c r="L30" s="19">
        <f t="shared" si="7"/>
        <v>0.20044840444200088</v>
      </c>
      <c r="M30" s="19">
        <f t="shared" si="8"/>
        <v>0.12806863017194456</v>
      </c>
      <c r="N30" s="6">
        <f t="shared" si="9"/>
        <v>334688.3</v>
      </c>
      <c r="O30" s="6">
        <f t="shared" si="10"/>
        <v>248764.9</v>
      </c>
    </row>
    <row r="31" spans="1:15" ht="16" thickBot="1" x14ac:dyDescent="0.25">
      <c r="K31" s="15" t="s">
        <v>8</v>
      </c>
      <c r="L31" s="16">
        <v>1</v>
      </c>
      <c r="M31" s="16">
        <v>1</v>
      </c>
      <c r="N31" s="135"/>
      <c r="O31" s="135"/>
    </row>
    <row r="32" spans="1:15" ht="16" thickTop="1" x14ac:dyDescent="0.2">
      <c r="A32" s="3"/>
      <c r="K32" s="9" t="s">
        <v>358</v>
      </c>
      <c r="L32" s="9">
        <v>2000</v>
      </c>
      <c r="M32" s="9">
        <v>2010</v>
      </c>
      <c r="N32" s="9">
        <v>2000</v>
      </c>
      <c r="O32" s="9">
        <v>2010</v>
      </c>
    </row>
    <row r="33" spans="1:20" x14ac:dyDescent="0.2">
      <c r="A33" s="4"/>
      <c r="B33" s="1" t="s">
        <v>35</v>
      </c>
      <c r="C33" s="1" t="s">
        <v>1</v>
      </c>
      <c r="F33" s="4"/>
      <c r="G33" s="1" t="s">
        <v>35</v>
      </c>
      <c r="H33" s="1" t="s">
        <v>1</v>
      </c>
      <c r="K33" s="11" t="str">
        <f>G34</f>
        <v>0 a 7 anos</v>
      </c>
      <c r="L33" s="17">
        <f>D34</f>
        <v>0.1329697346466247</v>
      </c>
      <c r="M33" s="17">
        <f>I34</f>
        <v>6.52518371021268E-2</v>
      </c>
      <c r="N33" s="6">
        <f>C34</f>
        <v>222019.3</v>
      </c>
      <c r="O33" s="6">
        <f>H34</f>
        <v>126747.4</v>
      </c>
    </row>
    <row r="34" spans="1:20" ht="16" x14ac:dyDescent="0.2">
      <c r="A34" s="4">
        <v>1</v>
      </c>
      <c r="B34" s="1" t="s">
        <v>36</v>
      </c>
      <c r="C34" s="1">
        <v>222019.3</v>
      </c>
      <c r="D34" s="22">
        <f>C34/SUM($C$25:$C$29)</f>
        <v>0.1329697346466247</v>
      </c>
      <c r="F34" s="4">
        <v>1</v>
      </c>
      <c r="G34" s="10" t="s">
        <v>37</v>
      </c>
      <c r="H34" s="6">
        <v>126747.4</v>
      </c>
      <c r="I34" s="7">
        <f>H34/SUM($H$34:$H$36)</f>
        <v>6.52518371021268E-2</v>
      </c>
      <c r="K34" s="11" t="str">
        <f t="shared" ref="K34:K35" si="11">G35</f>
        <v>8 a 11 anos</v>
      </c>
      <c r="L34" s="17">
        <f t="shared" ref="L34:L35" si="12">D35</f>
        <v>0.45832036691665196</v>
      </c>
      <c r="M34" s="17">
        <f t="shared" ref="M34" si="13">I35</f>
        <v>0.34407410042512637</v>
      </c>
      <c r="N34" s="6">
        <f t="shared" ref="N34:N35" si="14">C35</f>
        <v>765256.6</v>
      </c>
      <c r="O34" s="6">
        <f t="shared" ref="O34:O35" si="15">H35</f>
        <v>668341.30000000005</v>
      </c>
    </row>
    <row r="35" spans="1:20" ht="16" x14ac:dyDescent="0.2">
      <c r="A35" s="4">
        <v>2</v>
      </c>
      <c r="B35" s="1" t="s">
        <v>38</v>
      </c>
      <c r="C35" s="1">
        <v>765256.6</v>
      </c>
      <c r="D35" s="22">
        <f t="shared" ref="D35:D36" si="16">C35/SUM($C$25:$C$29)</f>
        <v>0.45832036691665196</v>
      </c>
      <c r="F35" s="4">
        <v>2</v>
      </c>
      <c r="G35" s="10" t="s">
        <v>39</v>
      </c>
      <c r="H35" s="6">
        <v>668341.30000000005</v>
      </c>
      <c r="I35" s="7">
        <f t="shared" ref="I35:I36" si="17">H35/SUM($H$34:$H$36)</f>
        <v>0.34407410042512637</v>
      </c>
      <c r="K35" s="11" t="str">
        <f t="shared" si="11"/>
        <v>12 anos ou mais</v>
      </c>
      <c r="L35" s="17">
        <f t="shared" si="12"/>
        <v>0.40870983854565318</v>
      </c>
      <c r="M35" s="17">
        <f>I36</f>
        <v>0.59067406247274679</v>
      </c>
      <c r="N35" s="6">
        <f t="shared" si="14"/>
        <v>682422</v>
      </c>
      <c r="O35" s="6">
        <f t="shared" si="15"/>
        <v>1147345.5</v>
      </c>
    </row>
    <row r="36" spans="1:20" ht="17" thickBot="1" x14ac:dyDescent="0.25">
      <c r="A36" s="14">
        <v>3</v>
      </c>
      <c r="B36" s="1" t="s">
        <v>40</v>
      </c>
      <c r="C36" s="1">
        <v>682422</v>
      </c>
      <c r="D36" s="22">
        <f t="shared" si="16"/>
        <v>0.40870983854565318</v>
      </c>
      <c r="F36" s="14">
        <v>3</v>
      </c>
      <c r="G36" s="10" t="s">
        <v>41</v>
      </c>
      <c r="H36" s="6">
        <v>1147345.5</v>
      </c>
      <c r="I36" s="7">
        <f t="shared" si="17"/>
        <v>0.59067406247274679</v>
      </c>
      <c r="K36" s="15" t="s">
        <v>8</v>
      </c>
      <c r="L36" s="16">
        <v>1</v>
      </c>
      <c r="M36" s="136">
        <v>1</v>
      </c>
      <c r="N36" s="155">
        <f>SUM(N33:N35)</f>
        <v>1669697.9</v>
      </c>
      <c r="O36" s="155">
        <f>SUM(O33:O35)</f>
        <v>1942434.2000000002</v>
      </c>
    </row>
    <row r="37" spans="1:20" ht="16" thickTop="1" x14ac:dyDescent="0.2"/>
    <row r="39" spans="1:20" s="73" customFormat="1" x14ac:dyDescent="0.2">
      <c r="A39" s="74" t="s">
        <v>199</v>
      </c>
    </row>
    <row r="41" spans="1:20" x14ac:dyDescent="0.2">
      <c r="A41" s="1" t="s">
        <v>42</v>
      </c>
      <c r="B41" s="1" t="s">
        <v>186</v>
      </c>
      <c r="C41" s="1" t="s">
        <v>45</v>
      </c>
      <c r="D41" s="1" t="s">
        <v>99</v>
      </c>
      <c r="H41" s="1" t="s">
        <v>187</v>
      </c>
      <c r="M41" s="1" t="s">
        <v>42</v>
      </c>
      <c r="N41" s="1" t="s">
        <v>308</v>
      </c>
      <c r="O41" s="1" t="s">
        <v>47</v>
      </c>
      <c r="P41" s="1" t="s">
        <v>44</v>
      </c>
      <c r="Q41" s="1" t="s">
        <v>45</v>
      </c>
      <c r="R41" s="1" t="s">
        <v>309</v>
      </c>
      <c r="S41" s="1" t="s">
        <v>310</v>
      </c>
    </row>
    <row r="42" spans="1:20" x14ac:dyDescent="0.2">
      <c r="B42" s="1" t="s">
        <v>174</v>
      </c>
      <c r="C42" s="1" t="s">
        <v>1</v>
      </c>
      <c r="I42" s="1" t="s">
        <v>174</v>
      </c>
      <c r="J42" s="1" t="s">
        <v>1</v>
      </c>
      <c r="N42" s="1" t="s">
        <v>35</v>
      </c>
      <c r="O42" s="1" t="s">
        <v>1</v>
      </c>
    </row>
    <row r="43" spans="1:20" ht="16" x14ac:dyDescent="0.2">
      <c r="A43" s="1">
        <v>1</v>
      </c>
      <c r="B43" s="1" t="s">
        <v>175</v>
      </c>
      <c r="C43" s="6">
        <v>509036.1</v>
      </c>
      <c r="D43" s="90">
        <f>C43/$C$47</f>
        <v>0.3048671858543992</v>
      </c>
      <c r="H43" s="1">
        <v>1</v>
      </c>
      <c r="I43" s="1" t="s">
        <v>175</v>
      </c>
      <c r="J43" s="6">
        <v>723099.73</v>
      </c>
      <c r="K43" s="90">
        <f>J43/$J$47</f>
        <v>0.37226471755494134</v>
      </c>
      <c r="M43" s="1">
        <v>1</v>
      </c>
      <c r="N43" s="1" t="s">
        <v>36</v>
      </c>
      <c r="O43" s="6">
        <v>126747.4</v>
      </c>
      <c r="P43" s="7">
        <f>O43/SUM($O$43:$O$45)</f>
        <v>6.52518371021268E-2</v>
      </c>
    </row>
    <row r="44" spans="1:20" ht="16" x14ac:dyDescent="0.2">
      <c r="A44" s="1">
        <v>2</v>
      </c>
      <c r="B44" s="1" t="s">
        <v>176</v>
      </c>
      <c r="C44" s="6">
        <v>896082.2</v>
      </c>
      <c r="D44" s="90">
        <f t="shared" ref="D44:D47" si="18">C44/$C$47</f>
        <v>0.53667325089167339</v>
      </c>
      <c r="H44" s="1">
        <v>2</v>
      </c>
      <c r="I44" s="1" t="s">
        <v>176</v>
      </c>
      <c r="J44" s="6">
        <v>896374.61</v>
      </c>
      <c r="K44" s="90">
        <f t="shared" ref="K44:K47" si="19">J44/$J$47</f>
        <v>0.46146973532277591</v>
      </c>
      <c r="M44" s="1">
        <v>2</v>
      </c>
      <c r="N44" s="1" t="s">
        <v>38</v>
      </c>
      <c r="O44" s="6">
        <v>668341.30000000005</v>
      </c>
      <c r="P44" s="7">
        <f t="shared" ref="P44:P45" si="20">O44/SUM($O$43:$O$45)</f>
        <v>0.34407410042512637</v>
      </c>
    </row>
    <row r="45" spans="1:20" ht="16" x14ac:dyDescent="0.2">
      <c r="A45" s="1">
        <v>3</v>
      </c>
      <c r="B45" s="1" t="s">
        <v>177</v>
      </c>
      <c r="C45" s="6">
        <v>109453.4</v>
      </c>
      <c r="D45" s="90">
        <f t="shared" si="18"/>
        <v>6.5552816470572317E-2</v>
      </c>
      <c r="H45" s="1">
        <v>3</v>
      </c>
      <c r="I45" s="1" t="s">
        <v>177</v>
      </c>
      <c r="J45" s="6">
        <v>64790.559999999998</v>
      </c>
      <c r="K45" s="90">
        <f t="shared" si="19"/>
        <v>3.3355343001755071E-2</v>
      </c>
      <c r="M45" s="1">
        <v>3</v>
      </c>
      <c r="N45" s="1" t="s">
        <v>40</v>
      </c>
      <c r="O45" s="6">
        <v>1147345.5</v>
      </c>
      <c r="P45" s="7">
        <f t="shared" si="20"/>
        <v>0.59067406247274679</v>
      </c>
    </row>
    <row r="46" spans="1:20" x14ac:dyDescent="0.2">
      <c r="A46" s="1">
        <v>4</v>
      </c>
      <c r="B46" s="1" t="s">
        <v>178</v>
      </c>
      <c r="C46" s="6">
        <v>155126.20000000001</v>
      </c>
      <c r="D46" s="90">
        <f t="shared" si="18"/>
        <v>9.2906746783355268E-2</v>
      </c>
      <c r="H46" s="1">
        <v>4</v>
      </c>
      <c r="I46" s="1" t="s">
        <v>178</v>
      </c>
      <c r="J46" s="6">
        <v>258169.33</v>
      </c>
      <c r="K46" s="90">
        <f t="shared" si="19"/>
        <v>0.13291020412052768</v>
      </c>
    </row>
    <row r="47" spans="1:20" x14ac:dyDescent="0.2">
      <c r="B47" s="1" t="s">
        <v>188</v>
      </c>
      <c r="C47" s="6">
        <f>SUM(C43:C46)</f>
        <v>1669697.8999999997</v>
      </c>
      <c r="D47" s="90">
        <f t="shared" si="18"/>
        <v>1</v>
      </c>
      <c r="I47" s="1" t="s">
        <v>188</v>
      </c>
      <c r="J47" s="6">
        <f>SUM(J43:J46)</f>
        <v>1942434.23</v>
      </c>
      <c r="K47" s="90">
        <f t="shared" si="19"/>
        <v>1</v>
      </c>
      <c r="S47" s="1" t="s">
        <v>309</v>
      </c>
      <c r="T47" s="1" t="s">
        <v>310</v>
      </c>
    </row>
    <row r="49" spans="2:24" x14ac:dyDescent="0.2">
      <c r="P49" s="6"/>
    </row>
    <row r="50" spans="2:24" x14ac:dyDescent="0.2">
      <c r="P50" s="6"/>
    </row>
    <row r="51" spans="2:24" x14ac:dyDescent="0.2">
      <c r="P51" s="6"/>
    </row>
    <row r="52" spans="2:24" x14ac:dyDescent="0.2">
      <c r="B52" s="1" t="s">
        <v>42</v>
      </c>
      <c r="C52" s="1" t="s">
        <v>359</v>
      </c>
    </row>
    <row r="54" spans="2:24" x14ac:dyDescent="0.2">
      <c r="C54" s="1">
        <v>15</v>
      </c>
      <c r="D54" s="1">
        <v>16</v>
      </c>
      <c r="E54" s="1">
        <v>17</v>
      </c>
      <c r="F54" s="1">
        <v>18</v>
      </c>
      <c r="G54" s="1">
        <v>19</v>
      </c>
      <c r="H54" s="1">
        <v>20</v>
      </c>
      <c r="I54" s="1">
        <v>21</v>
      </c>
      <c r="J54" s="1">
        <v>22</v>
      </c>
      <c r="K54" s="1">
        <v>23</v>
      </c>
      <c r="L54" s="1">
        <v>24</v>
      </c>
      <c r="M54" s="1">
        <v>25</v>
      </c>
      <c r="N54" s="1">
        <v>26</v>
      </c>
      <c r="O54" s="1">
        <v>27</v>
      </c>
      <c r="P54" s="1">
        <v>28</v>
      </c>
      <c r="Q54" s="1">
        <v>29</v>
      </c>
      <c r="R54" s="1">
        <v>30</v>
      </c>
      <c r="S54" s="1">
        <v>31</v>
      </c>
      <c r="T54" s="1">
        <v>32</v>
      </c>
      <c r="U54" s="1">
        <v>33</v>
      </c>
      <c r="V54" s="1">
        <v>34</v>
      </c>
      <c r="W54" s="1">
        <v>35</v>
      </c>
      <c r="X54" s="1">
        <v>36</v>
      </c>
    </row>
    <row r="55" spans="2:24" x14ac:dyDescent="0.2">
      <c r="C55" s="1">
        <v>262</v>
      </c>
      <c r="D55" s="1">
        <v>540</v>
      </c>
      <c r="E55" s="1">
        <v>901</v>
      </c>
      <c r="F55" s="1">
        <v>1600</v>
      </c>
      <c r="G55" s="1">
        <v>2395</v>
      </c>
      <c r="H55" s="1">
        <v>3372</v>
      </c>
      <c r="I55" s="1">
        <v>3893</v>
      </c>
      <c r="J55" s="1">
        <v>4387</v>
      </c>
      <c r="K55" s="1">
        <v>4711</v>
      </c>
      <c r="L55" s="1">
        <v>5144</v>
      </c>
      <c r="M55" s="1">
        <v>5450</v>
      </c>
      <c r="N55" s="1">
        <v>5651</v>
      </c>
      <c r="O55" s="1">
        <v>5908</v>
      </c>
      <c r="P55" s="1">
        <v>6224</v>
      </c>
      <c r="Q55" s="1">
        <v>6369</v>
      </c>
      <c r="R55" s="1">
        <v>7009</v>
      </c>
      <c r="S55" s="1">
        <v>7023</v>
      </c>
      <c r="T55" s="1">
        <v>7367</v>
      </c>
      <c r="U55" s="1">
        <v>7688</v>
      </c>
      <c r="V55" s="1">
        <v>7906</v>
      </c>
      <c r="W55" s="1">
        <v>8251</v>
      </c>
      <c r="X55" s="1">
        <v>8397</v>
      </c>
    </row>
    <row r="56" spans="2:24" x14ac:dyDescent="0.2">
      <c r="C56" s="1">
        <v>37</v>
      </c>
      <c r="D56" s="1">
        <v>38</v>
      </c>
      <c r="E56" s="1">
        <v>39</v>
      </c>
      <c r="F56" s="1">
        <v>40</v>
      </c>
      <c r="G56" s="1">
        <v>41</v>
      </c>
      <c r="H56" s="1">
        <v>42</v>
      </c>
      <c r="I56" s="1">
        <v>43</v>
      </c>
      <c r="J56" s="1">
        <v>44</v>
      </c>
      <c r="K56" s="1">
        <v>45</v>
      </c>
      <c r="L56" s="1">
        <v>46</v>
      </c>
      <c r="M56" s="1">
        <v>47</v>
      </c>
      <c r="N56" s="1">
        <v>48</v>
      </c>
      <c r="O56" s="1">
        <v>49</v>
      </c>
    </row>
    <row r="57" spans="2:24" x14ac:dyDescent="0.2">
      <c r="B57" s="1">
        <v>8344</v>
      </c>
      <c r="C57" s="1">
        <v>8006</v>
      </c>
      <c r="D57" s="1">
        <v>7835</v>
      </c>
      <c r="E57" s="1">
        <v>7946</v>
      </c>
      <c r="F57" s="1">
        <v>7301</v>
      </c>
      <c r="G57" s="1">
        <v>7516</v>
      </c>
      <c r="H57" s="1">
        <v>7129</v>
      </c>
      <c r="I57" s="1">
        <v>6811</v>
      </c>
      <c r="J57" s="1">
        <v>6681</v>
      </c>
      <c r="K57" s="1">
        <v>6239</v>
      </c>
      <c r="L57" s="1">
        <v>5735</v>
      </c>
      <c r="M57" s="1">
        <v>5309</v>
      </c>
      <c r="N57" s="1">
        <v>4793</v>
      </c>
    </row>
  </sheetData>
  <mergeCells count="2">
    <mergeCell ref="L2:M2"/>
    <mergeCell ref="L24:M24"/>
  </mergeCells>
  <pageMargins left="0.511811024" right="0.511811024" top="0.78740157499999996" bottom="0.78740157499999996" header="0.31496062000000002" footer="0.31496062000000002"/>
  <ignoredErrors>
    <ignoredError sqref="L8 L9:M9 L33:L35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AB753-1CF4-9144-8721-CF6B2C1B01CA}">
  <dimension ref="A1:AJ1000"/>
  <sheetViews>
    <sheetView topLeftCell="A33" zoomScale="125" workbookViewId="0">
      <selection activeCell="D46" sqref="D46:K46"/>
    </sheetView>
  </sheetViews>
  <sheetFormatPr baseColWidth="10" defaultColWidth="12.5" defaultRowHeight="15" customHeight="1" x14ac:dyDescent="0.2"/>
  <cols>
    <col min="1" max="2" width="8.5" style="1" customWidth="1"/>
    <col min="3" max="3" width="14.1640625" style="1" customWidth="1"/>
    <col min="4" max="4" width="12.6640625" style="1" customWidth="1"/>
    <col min="5" max="5" width="12.5" style="1" customWidth="1"/>
    <col min="6" max="6" width="21.5" style="1" customWidth="1"/>
    <col min="7" max="7" width="13.5" style="1" customWidth="1"/>
    <col min="8" max="8" width="13" style="1" customWidth="1"/>
    <col min="9" max="9" width="12.1640625" style="1" customWidth="1"/>
    <col min="10" max="10" width="10.5" style="1" customWidth="1"/>
    <col min="11" max="13" width="8.5" style="1" customWidth="1"/>
    <col min="14" max="14" width="12.33203125" style="1" customWidth="1"/>
    <col min="15" max="15" width="11.1640625" style="1" customWidth="1"/>
    <col min="16" max="16" width="12.5" style="1" customWidth="1"/>
    <col min="17" max="17" width="8.5" style="1" customWidth="1"/>
    <col min="18" max="18" width="11.33203125" style="1" customWidth="1"/>
    <col min="19" max="19" width="11.1640625" style="1" customWidth="1"/>
    <col min="20" max="20" width="13.83203125" style="1" customWidth="1"/>
    <col min="21" max="36" width="8.5" style="1" customWidth="1"/>
    <col min="37" max="16384" width="12.5" style="1"/>
  </cols>
  <sheetData>
    <row r="1" spans="1:36" ht="15.75" customHeight="1" x14ac:dyDescent="0.2">
      <c r="A1" s="38"/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</row>
    <row r="2" spans="1:36" ht="15.75" customHeight="1" x14ac:dyDescent="0.2">
      <c r="A2" s="39" t="s">
        <v>69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</row>
    <row r="3" spans="1:36" ht="15.75" customHeight="1" x14ac:dyDescent="0.2">
      <c r="A3" s="38"/>
      <c r="B3" s="41">
        <v>2000</v>
      </c>
      <c r="C3" s="38"/>
      <c r="D3" s="38"/>
      <c r="E3" s="38"/>
      <c r="F3" s="38"/>
      <c r="G3" s="38"/>
      <c r="H3" s="38"/>
      <c r="I3" s="38"/>
      <c r="J3" s="38"/>
      <c r="K3" s="38"/>
      <c r="L3" s="38"/>
      <c r="M3" s="41">
        <v>2010</v>
      </c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</row>
    <row r="4" spans="1:36" ht="15.75" customHeight="1" x14ac:dyDescent="0.2">
      <c r="A4" s="38"/>
      <c r="B4" s="38" t="s">
        <v>70</v>
      </c>
      <c r="C4" s="38"/>
      <c r="D4" s="38"/>
      <c r="E4" s="38"/>
      <c r="F4" s="38"/>
      <c r="G4" s="38"/>
      <c r="H4" s="38"/>
      <c r="I4" s="38"/>
      <c r="J4" s="38"/>
      <c r="K4" s="38"/>
      <c r="L4" s="38"/>
      <c r="M4" s="38" t="s">
        <v>71</v>
      </c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</row>
    <row r="5" spans="1:36" ht="15.75" customHeight="1" x14ac:dyDescent="0.2">
      <c r="A5" s="38"/>
      <c r="B5" s="38" t="s">
        <v>48</v>
      </c>
      <c r="C5" s="38">
        <v>0</v>
      </c>
      <c r="D5" s="38">
        <v>1</v>
      </c>
      <c r="E5" s="38" t="s">
        <v>72</v>
      </c>
      <c r="F5" s="32" t="s">
        <v>73</v>
      </c>
      <c r="G5" s="42" t="s">
        <v>74</v>
      </c>
      <c r="H5" s="43" t="s">
        <v>75</v>
      </c>
      <c r="I5" s="25"/>
      <c r="J5" s="38"/>
      <c r="K5" s="38"/>
      <c r="L5" s="38"/>
      <c r="M5" s="38" t="s">
        <v>48</v>
      </c>
      <c r="N5" s="38" t="s">
        <v>76</v>
      </c>
      <c r="O5" s="38" t="s">
        <v>77</v>
      </c>
      <c r="P5" s="38"/>
      <c r="Q5" s="32" t="s">
        <v>73</v>
      </c>
      <c r="R5" s="42" t="s">
        <v>74</v>
      </c>
      <c r="S5" s="43" t="s">
        <v>75</v>
      </c>
      <c r="T5" s="25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</row>
    <row r="6" spans="1:36" ht="15.75" customHeight="1" x14ac:dyDescent="0.2">
      <c r="A6" s="38"/>
      <c r="B6" s="38" t="s">
        <v>54</v>
      </c>
      <c r="C6" s="44">
        <v>683106.26</v>
      </c>
      <c r="D6" s="44">
        <v>634306.26</v>
      </c>
      <c r="E6" s="44">
        <v>8921295</v>
      </c>
      <c r="F6" s="45">
        <f t="shared" ref="F6:F12" si="0">D6/E6</f>
        <v>7.1100244975645349E-2</v>
      </c>
      <c r="G6" s="46">
        <f t="shared" ref="G6:G12" si="1">D6/E6*1.11</f>
        <v>7.8921271922966343E-2</v>
      </c>
      <c r="H6" s="47">
        <v>17.5</v>
      </c>
      <c r="I6" s="48">
        <f t="shared" ref="I6:I12" si="2">H6*F6</f>
        <v>1.2442542870737936</v>
      </c>
      <c r="J6" s="38"/>
      <c r="K6" s="38"/>
      <c r="L6" s="38"/>
      <c r="M6" s="38" t="s">
        <v>54</v>
      </c>
      <c r="N6" s="38">
        <v>8009889.8799999999</v>
      </c>
      <c r="O6" s="38">
        <v>419290.07</v>
      </c>
      <c r="P6" s="38">
        <f t="shared" ref="P6:P12" si="3">SUM(N6:O6)</f>
        <v>8429179.9499999993</v>
      </c>
      <c r="Q6" s="45">
        <f t="shared" ref="Q6:Q12" si="4">O6/SUM(N6:O6)</f>
        <v>4.9742688195902149E-2</v>
      </c>
      <c r="R6" s="46">
        <f t="shared" ref="R6:R13" si="5">Q6*1.17</f>
        <v>5.8198945189205507E-2</v>
      </c>
      <c r="S6" s="47">
        <v>17.5</v>
      </c>
      <c r="T6" s="48">
        <f t="shared" ref="T6:T12" si="6">S6*Q6</f>
        <v>0.8704970434282876</v>
      </c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</row>
    <row r="7" spans="1:36" ht="15.75" customHeight="1" x14ac:dyDescent="0.2">
      <c r="A7" s="38"/>
      <c r="B7" s="38" t="s">
        <v>55</v>
      </c>
      <c r="C7" s="44">
        <v>2823234.93</v>
      </c>
      <c r="D7" s="44">
        <v>1005481.65</v>
      </c>
      <c r="E7" s="44">
        <v>8094476</v>
      </c>
      <c r="F7" s="45">
        <f t="shared" si="0"/>
        <v>0.12421825081697692</v>
      </c>
      <c r="G7" s="46">
        <f t="shared" si="1"/>
        <v>0.1378822584068444</v>
      </c>
      <c r="H7" s="47">
        <v>22.5</v>
      </c>
      <c r="I7" s="48">
        <f t="shared" si="2"/>
        <v>2.7949106433819808</v>
      </c>
      <c r="J7" s="38"/>
      <c r="K7" s="38"/>
      <c r="L7" s="38"/>
      <c r="M7" s="38" t="s">
        <v>55</v>
      </c>
      <c r="N7" s="38">
        <v>7883243.3099999996</v>
      </c>
      <c r="O7" s="38">
        <v>729955.22</v>
      </c>
      <c r="P7" s="38">
        <f t="shared" si="3"/>
        <v>8613198.5299999993</v>
      </c>
      <c r="Q7" s="45">
        <f t="shared" si="4"/>
        <v>8.4748449424165317E-2</v>
      </c>
      <c r="R7" s="46">
        <f t="shared" si="5"/>
        <v>9.9155685826273418E-2</v>
      </c>
      <c r="S7" s="47">
        <v>22.5</v>
      </c>
      <c r="T7" s="48">
        <f t="shared" si="6"/>
        <v>1.9068401120437197</v>
      </c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</row>
    <row r="8" spans="1:36" ht="15.75" customHeight="1" x14ac:dyDescent="0.2">
      <c r="A8" s="38"/>
      <c r="B8" s="38" t="s">
        <v>56</v>
      </c>
      <c r="C8" s="44">
        <v>4117581.83</v>
      </c>
      <c r="D8" s="44">
        <v>752772.52</v>
      </c>
      <c r="E8" s="44">
        <v>7033192</v>
      </c>
      <c r="F8" s="45">
        <f t="shared" si="0"/>
        <v>0.1070314190199841</v>
      </c>
      <c r="G8" s="46">
        <f t="shared" si="1"/>
        <v>0.11880487511218236</v>
      </c>
      <c r="H8" s="47">
        <v>27.5</v>
      </c>
      <c r="I8" s="48">
        <f t="shared" si="2"/>
        <v>2.9433640230495626</v>
      </c>
      <c r="J8" s="38"/>
      <c r="K8" s="38"/>
      <c r="L8" s="38"/>
      <c r="M8" s="38" t="s">
        <v>56</v>
      </c>
      <c r="N8" s="38">
        <v>7972184.1200000001</v>
      </c>
      <c r="O8" s="38">
        <v>671943.28</v>
      </c>
      <c r="P8" s="38">
        <f t="shared" si="3"/>
        <v>8644127.4000000004</v>
      </c>
      <c r="Q8" s="45">
        <f t="shared" si="4"/>
        <v>7.7734078745762117E-2</v>
      </c>
      <c r="R8" s="46">
        <f t="shared" si="5"/>
        <v>9.0948872132541672E-2</v>
      </c>
      <c r="S8" s="47">
        <v>27.5</v>
      </c>
      <c r="T8" s="48">
        <f t="shared" si="6"/>
        <v>2.1376871655084582</v>
      </c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</row>
    <row r="9" spans="1:36" ht="15.75" customHeight="1" x14ac:dyDescent="0.2">
      <c r="A9" s="38"/>
      <c r="B9" s="38" t="s">
        <v>57</v>
      </c>
      <c r="C9" s="44">
        <v>4980226.88</v>
      </c>
      <c r="D9" s="44">
        <v>476336.09</v>
      </c>
      <c r="E9" s="44">
        <v>6664517</v>
      </c>
      <c r="F9" s="45">
        <f t="shared" si="0"/>
        <v>7.1473460117214796E-2</v>
      </c>
      <c r="G9" s="46">
        <f t="shared" si="1"/>
        <v>7.9335540730108428E-2</v>
      </c>
      <c r="H9" s="47">
        <v>32.5</v>
      </c>
      <c r="I9" s="48">
        <f t="shared" si="2"/>
        <v>2.3228874538094808</v>
      </c>
      <c r="J9" s="38"/>
      <c r="K9" s="38"/>
      <c r="L9" s="38"/>
      <c r="M9" s="38" t="s">
        <v>57</v>
      </c>
      <c r="N9" s="38">
        <v>7547042.4699999997</v>
      </c>
      <c r="O9" s="38">
        <v>479492.96</v>
      </c>
      <c r="P9" s="38">
        <f t="shared" si="3"/>
        <v>8026535.4299999997</v>
      </c>
      <c r="Q9" s="45">
        <f t="shared" si="4"/>
        <v>5.9738471745586011E-2</v>
      </c>
      <c r="R9" s="46">
        <f t="shared" si="5"/>
        <v>6.9894011942335632E-2</v>
      </c>
      <c r="S9" s="47">
        <v>32.5</v>
      </c>
      <c r="T9" s="48">
        <f t="shared" si="6"/>
        <v>1.9415003317315453</v>
      </c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</row>
    <row r="10" spans="1:36" ht="15.75" customHeight="1" x14ac:dyDescent="0.2">
      <c r="A10" s="38"/>
      <c r="B10" s="38" t="s">
        <v>58</v>
      </c>
      <c r="C10" s="44">
        <v>5260436.68</v>
      </c>
      <c r="D10" s="44">
        <v>248741.15</v>
      </c>
      <c r="E10" s="44">
        <v>6304778</v>
      </c>
      <c r="F10" s="45">
        <f t="shared" si="0"/>
        <v>3.9452800717170375E-2</v>
      </c>
      <c r="G10" s="46">
        <f t="shared" si="1"/>
        <v>4.3792608796059118E-2</v>
      </c>
      <c r="H10" s="47">
        <v>37.5</v>
      </c>
      <c r="I10" s="48">
        <f t="shared" si="2"/>
        <v>1.479480026893889</v>
      </c>
      <c r="J10" s="38"/>
      <c r="K10" s="38"/>
      <c r="L10" s="38"/>
      <c r="M10" s="38" t="s">
        <v>58</v>
      </c>
      <c r="N10" s="38">
        <v>6878283.8200000003</v>
      </c>
      <c r="O10" s="38">
        <v>242730.04</v>
      </c>
      <c r="P10" s="38">
        <f t="shared" si="3"/>
        <v>7121013.8600000003</v>
      </c>
      <c r="Q10" s="45">
        <f t="shared" si="4"/>
        <v>3.408644397723444E-2</v>
      </c>
      <c r="R10" s="46">
        <f t="shared" si="5"/>
        <v>3.9881139453364294E-2</v>
      </c>
      <c r="S10" s="47">
        <v>37.5</v>
      </c>
      <c r="T10" s="48">
        <f t="shared" si="6"/>
        <v>1.2782416491462916</v>
      </c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</row>
    <row r="11" spans="1:36" ht="15.75" customHeight="1" x14ac:dyDescent="0.2">
      <c r="A11" s="38"/>
      <c r="B11" s="38" t="s">
        <v>59</v>
      </c>
      <c r="C11" s="44">
        <v>4795474.74</v>
      </c>
      <c r="D11" s="44">
        <v>75172.039999999994</v>
      </c>
      <c r="E11" s="44">
        <v>5434109</v>
      </c>
      <c r="F11" s="45">
        <f t="shared" si="0"/>
        <v>1.383336992320176E-2</v>
      </c>
      <c r="G11" s="46">
        <f t="shared" si="1"/>
        <v>1.5355040614753955E-2</v>
      </c>
      <c r="H11" s="47">
        <v>42.5</v>
      </c>
      <c r="I11" s="48">
        <f t="shared" si="2"/>
        <v>0.58791822173607478</v>
      </c>
      <c r="J11" s="38"/>
      <c r="K11" s="38"/>
      <c r="L11" s="38"/>
      <c r="M11" s="38" t="s">
        <v>59</v>
      </c>
      <c r="N11" s="38">
        <v>6614120.3399999999</v>
      </c>
      <c r="O11" s="38">
        <v>74405.009999999995</v>
      </c>
      <c r="P11" s="38">
        <f t="shared" si="3"/>
        <v>6688525.3499999996</v>
      </c>
      <c r="Q11" s="45">
        <f t="shared" si="4"/>
        <v>1.1124277192131745E-2</v>
      </c>
      <c r="R11" s="46">
        <f t="shared" si="5"/>
        <v>1.301540431479414E-2</v>
      </c>
      <c r="S11" s="47">
        <v>42.5</v>
      </c>
      <c r="T11" s="48">
        <f t="shared" si="6"/>
        <v>0.47278178066559917</v>
      </c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</row>
    <row r="12" spans="1:36" ht="15.75" customHeight="1" x14ac:dyDescent="0.2">
      <c r="A12" s="38"/>
      <c r="B12" s="38" t="s">
        <v>60</v>
      </c>
      <c r="C12" s="44">
        <v>4055477.44</v>
      </c>
      <c r="D12" s="44">
        <v>12060.75</v>
      </c>
      <c r="E12" s="44">
        <v>4510458</v>
      </c>
      <c r="F12" s="45">
        <f t="shared" si="0"/>
        <v>2.673952401286078E-3</v>
      </c>
      <c r="G12" s="46">
        <f t="shared" si="1"/>
        <v>2.968087165427547E-3</v>
      </c>
      <c r="H12" s="47">
        <v>47.5</v>
      </c>
      <c r="I12" s="48">
        <f t="shared" si="2"/>
        <v>0.1270127390610887</v>
      </c>
      <c r="J12" s="38"/>
      <c r="K12" s="38"/>
      <c r="L12" s="38"/>
      <c r="M12" s="38" t="s">
        <v>60</v>
      </c>
      <c r="N12" s="38">
        <v>6128881.6200000001</v>
      </c>
      <c r="O12" s="38">
        <v>13043.2</v>
      </c>
      <c r="P12" s="38">
        <f t="shared" si="3"/>
        <v>6141924.8200000003</v>
      </c>
      <c r="Q12" s="45">
        <f t="shared" si="4"/>
        <v>2.1236339392379602E-3</v>
      </c>
      <c r="R12" s="46">
        <f t="shared" si="5"/>
        <v>2.4846517089084134E-3</v>
      </c>
      <c r="S12" s="47">
        <v>47.5</v>
      </c>
      <c r="T12" s="48">
        <f t="shared" si="6"/>
        <v>0.10087261211380311</v>
      </c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</row>
    <row r="13" spans="1:36" ht="15.75" customHeight="1" x14ac:dyDescent="0.2">
      <c r="A13" s="38"/>
      <c r="B13" s="38"/>
      <c r="C13" s="44"/>
      <c r="D13" s="44"/>
      <c r="E13" s="44">
        <f>SUM(E6:E12)</f>
        <v>46962825</v>
      </c>
      <c r="F13" s="47">
        <f>SUM(F6:F12)*5</f>
        <v>2.1489174898573973</v>
      </c>
      <c r="G13" s="47">
        <f>SUM(G6:G12)*5</f>
        <v>2.3852984137417108</v>
      </c>
      <c r="H13" s="25"/>
      <c r="I13" s="48">
        <f>SUM(I6:I12)/SUM(F6:F12)</f>
        <v>26.757256733409999</v>
      </c>
      <c r="J13" s="38"/>
      <c r="K13" s="38"/>
      <c r="L13" s="38"/>
      <c r="M13" s="38"/>
      <c r="N13" s="49">
        <f>SUM(N6:N12)</f>
        <v>51033645.559999995</v>
      </c>
      <c r="O13" s="49">
        <f>SUM(O6:O12)</f>
        <v>2630859.7800000003</v>
      </c>
      <c r="P13" s="49">
        <f>SUM(P6:P12)</f>
        <v>53664505.339999996</v>
      </c>
      <c r="Q13" s="47">
        <f>SUM(Q6:Q12)*5</f>
        <v>1.5964902161000989</v>
      </c>
      <c r="R13" s="50">
        <f t="shared" si="5"/>
        <v>1.8678935528371157</v>
      </c>
      <c r="S13" s="25"/>
      <c r="T13" s="48">
        <f>SUM(T6:T12)/SUM(Q6:Q12)</f>
        <v>27.273642540417843</v>
      </c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</row>
    <row r="14" spans="1:36" ht="15.75" customHeight="1" x14ac:dyDescent="0.2">
      <c r="A14" s="38"/>
      <c r="B14" s="38"/>
      <c r="C14" s="38"/>
      <c r="D14" s="38"/>
      <c r="E14" s="38"/>
      <c r="F14" s="38"/>
      <c r="G14" s="51">
        <f>F13*1.1</f>
        <v>2.3638092388431371</v>
      </c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</row>
    <row r="15" spans="1:36" ht="15.75" customHeight="1" x14ac:dyDescent="0.2">
      <c r="A15" s="39" t="s">
        <v>78</v>
      </c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</row>
    <row r="16" spans="1:36" ht="15.75" customHeight="1" x14ac:dyDescent="0.2">
      <c r="A16" s="38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</row>
    <row r="17" spans="1:36" ht="15.75" customHeight="1" x14ac:dyDescent="0.2">
      <c r="A17" s="38"/>
      <c r="B17" s="41">
        <v>2000</v>
      </c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41">
        <v>2010</v>
      </c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</row>
    <row r="18" spans="1:36" ht="15.75" customHeight="1" x14ac:dyDescent="0.2">
      <c r="A18" s="38"/>
      <c r="B18" s="38" t="s">
        <v>70</v>
      </c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 t="s">
        <v>70</v>
      </c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</row>
    <row r="19" spans="1:36" ht="15.75" customHeight="1" x14ac:dyDescent="0.2">
      <c r="A19" s="38"/>
      <c r="B19" s="38" t="s">
        <v>48</v>
      </c>
      <c r="C19" s="38">
        <v>0</v>
      </c>
      <c r="D19" s="38">
        <v>1</v>
      </c>
      <c r="E19" s="38" t="s">
        <v>72</v>
      </c>
      <c r="F19" s="32" t="s">
        <v>73</v>
      </c>
      <c r="G19" s="42" t="s">
        <v>74</v>
      </c>
      <c r="H19" s="43" t="s">
        <v>75</v>
      </c>
      <c r="I19" s="25"/>
      <c r="J19" s="38"/>
      <c r="K19" s="38"/>
      <c r="L19" s="38"/>
      <c r="M19" s="38" t="s">
        <v>48</v>
      </c>
      <c r="N19" s="38">
        <v>0</v>
      </c>
      <c r="O19" s="38">
        <v>1</v>
      </c>
      <c r="P19" s="38" t="s">
        <v>72</v>
      </c>
      <c r="Q19" s="32" t="s">
        <v>73</v>
      </c>
      <c r="R19" s="42" t="s">
        <v>74</v>
      </c>
      <c r="S19" s="43" t="s">
        <v>75</v>
      </c>
      <c r="T19" s="25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</row>
    <row r="20" spans="1:36" ht="15.75" customHeight="1" x14ac:dyDescent="0.2">
      <c r="A20" s="38"/>
      <c r="B20" s="38" t="s">
        <v>54</v>
      </c>
      <c r="C20" s="44">
        <v>165676.076</v>
      </c>
      <c r="D20" s="44">
        <v>96136.778109000006</v>
      </c>
      <c r="E20" s="44">
        <v>2194576.0101000001</v>
      </c>
      <c r="F20" s="45">
        <f t="shared" ref="F20:F26" si="7">D20/E20</f>
        <v>4.3806538332030409E-2</v>
      </c>
      <c r="G20" s="46">
        <f t="shared" ref="G20:G26" si="8">D20/E20*1.11</f>
        <v>4.8625257548553756E-2</v>
      </c>
      <c r="H20" s="47">
        <v>17.5</v>
      </c>
      <c r="I20" s="48">
        <f t="shared" ref="I20:I26" si="9">H20*F20</f>
        <v>0.7666144208105321</v>
      </c>
      <c r="J20" s="38"/>
      <c r="K20" s="38"/>
      <c r="L20" s="38"/>
      <c r="M20" s="38" t="s">
        <v>54</v>
      </c>
      <c r="N20" s="44">
        <v>2077156.3454999998</v>
      </c>
      <c r="O20" s="44">
        <v>77495.960219999994</v>
      </c>
      <c r="P20" s="52">
        <f t="shared" ref="P20:P26" si="10">SUM(N20:O20)</f>
        <v>2154652.3057199996</v>
      </c>
      <c r="Q20" s="45">
        <f t="shared" ref="Q20:Q26" si="11">O20/P20</f>
        <v>3.5966805416479439E-2</v>
      </c>
      <c r="R20" s="46">
        <f t="shared" ref="R20:R26" si="12">O20/P20*1.11</f>
        <v>3.9923154012292184E-2</v>
      </c>
      <c r="S20" s="47">
        <v>17.5</v>
      </c>
      <c r="T20" s="48">
        <f t="shared" ref="T20:T26" si="13">S20*Q20</f>
        <v>0.6294190947883902</v>
      </c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</row>
    <row r="21" spans="1:36" ht="15.75" customHeight="1" x14ac:dyDescent="0.2">
      <c r="A21" s="38"/>
      <c r="B21" s="38" t="s">
        <v>55</v>
      </c>
      <c r="C21" s="44">
        <v>1018593.8601</v>
      </c>
      <c r="D21" s="44">
        <v>247329.2928</v>
      </c>
      <c r="E21" s="44">
        <v>3618040.3178000003</v>
      </c>
      <c r="F21" s="45">
        <f t="shared" si="7"/>
        <v>6.8360015664610391E-2</v>
      </c>
      <c r="G21" s="46">
        <f t="shared" si="8"/>
        <v>7.5879617387717535E-2</v>
      </c>
      <c r="H21" s="47">
        <v>22.5</v>
      </c>
      <c r="I21" s="48">
        <f t="shared" si="9"/>
        <v>1.5381003524537338</v>
      </c>
      <c r="J21" s="38"/>
      <c r="K21" s="38"/>
      <c r="L21" s="38"/>
      <c r="M21" s="38" t="s">
        <v>55</v>
      </c>
      <c r="N21" s="44">
        <v>4282520.9079999998</v>
      </c>
      <c r="O21" s="44">
        <v>236101.39039999997</v>
      </c>
      <c r="P21" s="44">
        <f t="shared" si="10"/>
        <v>4518622.2983999997</v>
      </c>
      <c r="Q21" s="45">
        <f t="shared" si="11"/>
        <v>5.2250746977369894E-2</v>
      </c>
      <c r="R21" s="46">
        <f t="shared" si="12"/>
        <v>5.7998329144880588E-2</v>
      </c>
      <c r="S21" s="47">
        <v>22.5</v>
      </c>
      <c r="T21" s="48">
        <f t="shared" si="13"/>
        <v>1.1756418069908225</v>
      </c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</row>
    <row r="22" spans="1:36" ht="15.75" customHeight="1" x14ac:dyDescent="0.2">
      <c r="A22" s="38"/>
      <c r="B22" s="38" t="s">
        <v>56</v>
      </c>
      <c r="C22" s="44">
        <v>1791006.1550000003</v>
      </c>
      <c r="D22" s="44">
        <v>246961.46849999996</v>
      </c>
      <c r="E22" s="44">
        <v>3510395.2984000002</v>
      </c>
      <c r="F22" s="45">
        <f t="shared" si="7"/>
        <v>7.0351469708429218E-2</v>
      </c>
      <c r="G22" s="46">
        <f t="shared" si="8"/>
        <v>7.8090131376356439E-2</v>
      </c>
      <c r="H22" s="47">
        <v>27.5</v>
      </c>
      <c r="I22" s="48">
        <f t="shared" si="9"/>
        <v>1.9346654169818034</v>
      </c>
      <c r="J22" s="38"/>
      <c r="K22" s="38"/>
      <c r="L22" s="38"/>
      <c r="M22" s="38" t="s">
        <v>56</v>
      </c>
      <c r="N22" s="44">
        <v>4968427.4979999997</v>
      </c>
      <c r="O22" s="44">
        <v>290840.51759999996</v>
      </c>
      <c r="P22" s="44">
        <f t="shared" si="10"/>
        <v>5259268.0155999996</v>
      </c>
      <c r="Q22" s="45">
        <f t="shared" si="11"/>
        <v>5.5300569725161584E-2</v>
      </c>
      <c r="R22" s="46">
        <f t="shared" si="12"/>
        <v>6.1383632394929367E-2</v>
      </c>
      <c r="S22" s="47">
        <v>27.5</v>
      </c>
      <c r="T22" s="48">
        <f t="shared" si="13"/>
        <v>1.5207656674419436</v>
      </c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</row>
    <row r="23" spans="1:36" ht="15.75" customHeight="1" x14ac:dyDescent="0.2">
      <c r="A23" s="38"/>
      <c r="B23" s="38" t="s">
        <v>57</v>
      </c>
      <c r="C23" s="44">
        <v>2440687.7339999997</v>
      </c>
      <c r="D23" s="44">
        <v>186843.9405</v>
      </c>
      <c r="E23" s="44">
        <v>3503006.0586000006</v>
      </c>
      <c r="F23" s="45">
        <f t="shared" si="7"/>
        <v>5.3338172236754113E-2</v>
      </c>
      <c r="G23" s="46">
        <f t="shared" si="8"/>
        <v>5.9205371182797069E-2</v>
      </c>
      <c r="H23" s="47">
        <v>32.5</v>
      </c>
      <c r="I23" s="48">
        <f t="shared" si="9"/>
        <v>1.7334905976945088</v>
      </c>
      <c r="J23" s="38"/>
      <c r="K23" s="38"/>
      <c r="L23" s="38"/>
      <c r="M23" s="38" t="s">
        <v>57</v>
      </c>
      <c r="N23" s="44">
        <v>4855606.152999999</v>
      </c>
      <c r="O23" s="44">
        <v>252284.20059999998</v>
      </c>
      <c r="P23" s="44">
        <f t="shared" si="10"/>
        <v>5107890.3535999991</v>
      </c>
      <c r="Q23" s="45">
        <f t="shared" si="11"/>
        <v>4.9391075989364604E-2</v>
      </c>
      <c r="R23" s="46">
        <f t="shared" si="12"/>
        <v>5.4824094348194713E-2</v>
      </c>
      <c r="S23" s="47">
        <v>32.5</v>
      </c>
      <c r="T23" s="48">
        <f t="shared" si="13"/>
        <v>1.6052099696543496</v>
      </c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</row>
    <row r="24" spans="1:36" ht="15.75" customHeight="1" x14ac:dyDescent="0.2">
      <c r="A24" s="38"/>
      <c r="B24" s="38" t="s">
        <v>58</v>
      </c>
      <c r="C24" s="44">
        <v>2720515.4289999995</v>
      </c>
      <c r="D24" s="44">
        <v>101222.43859999999</v>
      </c>
      <c r="E24" s="44">
        <v>3420159.9067000002</v>
      </c>
      <c r="F24" s="45">
        <f t="shared" si="7"/>
        <v>2.9595820476612217E-2</v>
      </c>
      <c r="G24" s="46">
        <f t="shared" si="8"/>
        <v>3.2851360729039561E-2</v>
      </c>
      <c r="H24" s="47">
        <v>37.5</v>
      </c>
      <c r="I24" s="48">
        <f t="shared" si="9"/>
        <v>1.1098432678729582</v>
      </c>
      <c r="J24" s="38"/>
      <c r="K24" s="38"/>
      <c r="L24" s="38"/>
      <c r="M24" s="38" t="s">
        <v>58</v>
      </c>
      <c r="N24" s="44">
        <v>4450306.7479999997</v>
      </c>
      <c r="O24" s="44">
        <v>132722.486</v>
      </c>
      <c r="P24" s="44">
        <f t="shared" si="10"/>
        <v>4583029.2339999992</v>
      </c>
      <c r="Q24" s="45">
        <f t="shared" si="11"/>
        <v>2.8959554745009081E-2</v>
      </c>
      <c r="R24" s="46">
        <f t="shared" si="12"/>
        <v>3.2145105766960079E-2</v>
      </c>
      <c r="S24" s="47">
        <v>37.5</v>
      </c>
      <c r="T24" s="48">
        <f t="shared" si="13"/>
        <v>1.0859833029378405</v>
      </c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</row>
    <row r="25" spans="1:36" ht="15.75" customHeight="1" x14ac:dyDescent="0.2">
      <c r="A25" s="38"/>
      <c r="B25" s="38" t="s">
        <v>59</v>
      </c>
      <c r="C25" s="44">
        <v>2446755.1181999999</v>
      </c>
      <c r="D25" s="44">
        <v>28775.756079999999</v>
      </c>
      <c r="E25" s="44">
        <v>2898979.1946000005</v>
      </c>
      <c r="F25" s="45">
        <f t="shared" si="7"/>
        <v>9.9261685401541705E-3</v>
      </c>
      <c r="G25" s="46">
        <f t="shared" si="8"/>
        <v>1.101804707957113E-2</v>
      </c>
      <c r="H25" s="47">
        <v>42.5</v>
      </c>
      <c r="I25" s="48">
        <f t="shared" si="9"/>
        <v>0.42186216295655227</v>
      </c>
      <c r="J25" s="38"/>
      <c r="K25" s="38"/>
      <c r="L25" s="38"/>
      <c r="M25" s="38" t="s">
        <v>59</v>
      </c>
      <c r="N25" s="44">
        <v>4214782.176</v>
      </c>
      <c r="O25" s="44">
        <v>39071.245900000002</v>
      </c>
      <c r="P25" s="44">
        <f t="shared" si="10"/>
        <v>4253853.4219000004</v>
      </c>
      <c r="Q25" s="45">
        <f t="shared" si="11"/>
        <v>9.1849064894550768E-3</v>
      </c>
      <c r="R25" s="46">
        <f t="shared" si="12"/>
        <v>1.0195246203295136E-2</v>
      </c>
      <c r="S25" s="47">
        <v>42.5</v>
      </c>
      <c r="T25" s="48">
        <f t="shared" si="13"/>
        <v>0.39035852580184077</v>
      </c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</row>
    <row r="26" spans="1:36" ht="15.75" customHeight="1" x14ac:dyDescent="0.2">
      <c r="A26" s="38"/>
      <c r="B26" s="38" t="s">
        <v>60</v>
      </c>
      <c r="C26" s="44">
        <v>1871450.4233000001</v>
      </c>
      <c r="D26" s="44">
        <v>4593.8341030000001</v>
      </c>
      <c r="E26" s="44">
        <v>2180876.6695999997</v>
      </c>
      <c r="F26" s="45">
        <f t="shared" si="7"/>
        <v>2.1064162715090933E-3</v>
      </c>
      <c r="G26" s="46">
        <f t="shared" si="8"/>
        <v>2.3381220613750936E-3</v>
      </c>
      <c r="H26" s="47">
        <v>47.5</v>
      </c>
      <c r="I26" s="48">
        <f t="shared" si="9"/>
        <v>0.10005477289668192</v>
      </c>
      <c r="J26" s="38"/>
      <c r="K26" s="38"/>
      <c r="L26" s="38"/>
      <c r="M26" s="38" t="s">
        <v>60</v>
      </c>
      <c r="N26" s="44">
        <v>3704871.5839999998</v>
      </c>
      <c r="O26" s="44">
        <v>6627.7461999999996</v>
      </c>
      <c r="P26" s="44">
        <f t="shared" si="10"/>
        <v>3711499.3301999997</v>
      </c>
      <c r="Q26" s="45">
        <f t="shared" si="11"/>
        <v>1.7857328293368851E-3</v>
      </c>
      <c r="R26" s="46">
        <f t="shared" si="12"/>
        <v>1.9821634405639429E-3</v>
      </c>
      <c r="S26" s="47">
        <v>47.5</v>
      </c>
      <c r="T26" s="48">
        <f t="shared" si="13"/>
        <v>8.4822309393502049E-2</v>
      </c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</row>
    <row r="27" spans="1:36" ht="15.75" customHeight="1" x14ac:dyDescent="0.2">
      <c r="A27" s="38"/>
      <c r="B27" s="38"/>
      <c r="C27" s="38"/>
      <c r="D27" s="38"/>
      <c r="E27" s="49">
        <f>SUM(E20:E26)</f>
        <v>21326033.455800001</v>
      </c>
      <c r="F27" s="47">
        <f>SUM(F20:F26)*5</f>
        <v>1.387423006150498</v>
      </c>
      <c r="G27" s="47">
        <f>SUM(G20:G26)*5</f>
        <v>1.5400395368270525</v>
      </c>
      <c r="H27" s="25"/>
      <c r="I27" s="48">
        <f>SUM(I20:I26)/SUM(F20:F26)</f>
        <v>27.405596411314924</v>
      </c>
      <c r="J27" s="38"/>
      <c r="K27" s="38"/>
      <c r="L27" s="38"/>
      <c r="M27" s="38"/>
      <c r="N27" s="38"/>
      <c r="O27" s="38"/>
      <c r="P27" s="44">
        <f>SUM(P20:P26)</f>
        <v>29588814.959419996</v>
      </c>
      <c r="Q27" s="47">
        <f>SUM(Q20:Q26)*5</f>
        <v>1.1641969608608829</v>
      </c>
      <c r="R27" s="47">
        <f>SUM(R20:R26)*5</f>
        <v>1.2922586265555802</v>
      </c>
      <c r="S27" s="25"/>
      <c r="T27" s="48">
        <f>SUM(T20:T26)/SUM(Q20:Q26)</f>
        <v>27.882741903946975</v>
      </c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</row>
    <row r="28" spans="1:36" ht="15.75" customHeight="1" x14ac:dyDescent="0.2">
      <c r="A28" s="38"/>
      <c r="B28" s="38"/>
      <c r="C28" s="38"/>
      <c r="D28" s="38"/>
      <c r="E28" s="38"/>
      <c r="F28" s="38"/>
      <c r="G28" s="51">
        <f>F27*1.1</f>
        <v>1.5261653067655478</v>
      </c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51">
        <f>Q27*1.1</f>
        <v>1.2806166569469712</v>
      </c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</row>
    <row r="29" spans="1:36" ht="15.75" customHeight="1" x14ac:dyDescent="0.2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</row>
    <row r="30" spans="1:36" ht="15.75" customHeight="1" x14ac:dyDescent="0.2">
      <c r="A30" s="39" t="s">
        <v>79</v>
      </c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</row>
    <row r="31" spans="1:36" ht="15.75" customHeight="1" x14ac:dyDescent="0.2">
      <c r="A31" s="110" t="s">
        <v>80</v>
      </c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</row>
    <row r="32" spans="1:36" ht="15.75" customHeight="1" x14ac:dyDescent="0.2">
      <c r="A32" s="38"/>
      <c r="B32" s="41">
        <v>2000</v>
      </c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41">
        <v>2010</v>
      </c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</row>
    <row r="33" spans="1:36" ht="15.75" customHeight="1" x14ac:dyDescent="0.2">
      <c r="A33" s="38"/>
      <c r="B33" s="38" t="s">
        <v>70</v>
      </c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 t="s">
        <v>70</v>
      </c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</row>
    <row r="34" spans="1:36" ht="15.75" customHeight="1" x14ac:dyDescent="0.2">
      <c r="A34" s="38"/>
      <c r="B34" s="38" t="s">
        <v>48</v>
      </c>
      <c r="C34" s="38">
        <v>0</v>
      </c>
      <c r="D34" s="38">
        <v>1</v>
      </c>
      <c r="E34" s="38" t="s">
        <v>72</v>
      </c>
      <c r="F34" s="32" t="s">
        <v>73</v>
      </c>
      <c r="G34" s="42" t="s">
        <v>74</v>
      </c>
      <c r="H34" s="43" t="s">
        <v>75</v>
      </c>
      <c r="I34" s="25"/>
      <c r="J34" s="38"/>
      <c r="K34" s="38"/>
      <c r="L34" s="38"/>
      <c r="M34" s="38" t="s">
        <v>48</v>
      </c>
      <c r="N34" s="38">
        <v>0</v>
      </c>
      <c r="O34" s="38">
        <v>1</v>
      </c>
      <c r="P34" s="38" t="s">
        <v>72</v>
      </c>
      <c r="Q34" s="32" t="s">
        <v>73</v>
      </c>
      <c r="R34" s="42" t="s">
        <v>74</v>
      </c>
      <c r="S34" s="43" t="s">
        <v>75</v>
      </c>
      <c r="T34" s="25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</row>
    <row r="35" spans="1:36" ht="15.75" customHeight="1" x14ac:dyDescent="0.2">
      <c r="A35" s="38"/>
      <c r="B35" s="38" t="s">
        <v>54</v>
      </c>
      <c r="C35" s="44">
        <f t="shared" ref="C35:E41" si="14">C6-C20</f>
        <v>517430.18400000001</v>
      </c>
      <c r="D35" s="44">
        <f t="shared" si="14"/>
        <v>538169.48189099994</v>
      </c>
      <c r="E35" s="44">
        <f t="shared" si="14"/>
        <v>6726718.9899000004</v>
      </c>
      <c r="F35" s="45">
        <f t="shared" ref="F35:F41" si="15">D35/E35</f>
        <v>8.0004751603128935E-2</v>
      </c>
      <c r="G35" s="46">
        <f t="shared" ref="G35:G41" si="16">D35/E35*1.11</f>
        <v>8.8805274279473129E-2</v>
      </c>
      <c r="H35" s="47">
        <v>17.5</v>
      </c>
      <c r="I35" s="48">
        <f t="shared" ref="I35:I41" si="17">H35*F35</f>
        <v>1.4000831530547564</v>
      </c>
      <c r="J35" s="38"/>
      <c r="K35" s="38"/>
      <c r="L35" s="38"/>
      <c r="M35" s="38" t="s">
        <v>54</v>
      </c>
      <c r="N35" s="44">
        <f t="shared" ref="N35:O41" si="18">N6-N20</f>
        <v>5932733.5345000001</v>
      </c>
      <c r="O35" s="44">
        <f t="shared" si="18"/>
        <v>341794.10978</v>
      </c>
      <c r="P35" s="53">
        <f t="shared" ref="P35:P41" si="19">SUM(N35:O35)</f>
        <v>6274527.6442799997</v>
      </c>
      <c r="Q35" s="45">
        <f t="shared" ref="Q35:Q41" si="20">O35/P35</f>
        <v>5.4473281361918487E-2</v>
      </c>
      <c r="R35" s="46">
        <f t="shared" ref="R35:R41" si="21">O35/P35*1.11</f>
        <v>6.0465342311729522E-2</v>
      </c>
      <c r="S35" s="47">
        <v>17.5</v>
      </c>
      <c r="T35" s="48">
        <f t="shared" ref="T35:T41" si="22">S35*Q35</f>
        <v>0.95328242383357353</v>
      </c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</row>
    <row r="36" spans="1:36" ht="15.75" customHeight="1" x14ac:dyDescent="0.2">
      <c r="A36" s="38"/>
      <c r="B36" s="38" t="s">
        <v>55</v>
      </c>
      <c r="C36" s="44">
        <f t="shared" si="14"/>
        <v>1804641.0699</v>
      </c>
      <c r="D36" s="44">
        <f t="shared" si="14"/>
        <v>758152.35719999997</v>
      </c>
      <c r="E36" s="44">
        <f t="shared" si="14"/>
        <v>4476435.6821999997</v>
      </c>
      <c r="F36" s="45">
        <f t="shared" si="15"/>
        <v>0.16936518494272135</v>
      </c>
      <c r="G36" s="46">
        <f t="shared" si="16"/>
        <v>0.18799535528642072</v>
      </c>
      <c r="H36" s="47">
        <v>22.5</v>
      </c>
      <c r="I36" s="48">
        <f t="shared" si="17"/>
        <v>3.8107166612112304</v>
      </c>
      <c r="J36" s="38"/>
      <c r="K36" s="38"/>
      <c r="L36" s="38"/>
      <c r="M36" s="38" t="s">
        <v>55</v>
      </c>
      <c r="N36" s="44">
        <f t="shared" si="18"/>
        <v>3600722.4019999998</v>
      </c>
      <c r="O36" s="44">
        <f t="shared" si="18"/>
        <v>493853.8296</v>
      </c>
      <c r="P36" s="44">
        <f t="shared" si="19"/>
        <v>4094576.2315999996</v>
      </c>
      <c r="Q36" s="45">
        <f t="shared" si="20"/>
        <v>0.12061170721127869</v>
      </c>
      <c r="R36" s="46">
        <f t="shared" si="21"/>
        <v>0.13387899500451936</v>
      </c>
      <c r="S36" s="47">
        <v>22.5</v>
      </c>
      <c r="T36" s="48">
        <f t="shared" si="22"/>
        <v>2.7137634122537704</v>
      </c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</row>
    <row r="37" spans="1:36" ht="15.75" customHeight="1" x14ac:dyDescent="0.2">
      <c r="A37" s="38"/>
      <c r="B37" s="38" t="s">
        <v>56</v>
      </c>
      <c r="C37" s="44">
        <f t="shared" si="14"/>
        <v>2326575.6749999998</v>
      </c>
      <c r="D37" s="44">
        <f t="shared" si="14"/>
        <v>505811.05150000006</v>
      </c>
      <c r="E37" s="44">
        <f t="shared" si="14"/>
        <v>3522796.7015999998</v>
      </c>
      <c r="F37" s="45">
        <f t="shared" si="15"/>
        <v>0.14358224284423468</v>
      </c>
      <c r="G37" s="46">
        <f t="shared" si="16"/>
        <v>0.15937628955710051</v>
      </c>
      <c r="H37" s="47">
        <v>27.5</v>
      </c>
      <c r="I37" s="48">
        <f t="shared" si="17"/>
        <v>3.9485116782164535</v>
      </c>
      <c r="J37" s="38"/>
      <c r="K37" s="38"/>
      <c r="L37" s="38"/>
      <c r="M37" s="38" t="s">
        <v>56</v>
      </c>
      <c r="N37" s="44">
        <f t="shared" si="18"/>
        <v>3003756.6220000004</v>
      </c>
      <c r="O37" s="44">
        <f t="shared" si="18"/>
        <v>381102.76240000007</v>
      </c>
      <c r="P37" s="44">
        <f t="shared" si="19"/>
        <v>3384859.3844000003</v>
      </c>
      <c r="Q37" s="45">
        <f t="shared" si="20"/>
        <v>0.11259042669731295</v>
      </c>
      <c r="R37" s="46">
        <f t="shared" si="21"/>
        <v>0.12497537363401738</v>
      </c>
      <c r="S37" s="47">
        <v>27.5</v>
      </c>
      <c r="T37" s="48">
        <f t="shared" si="22"/>
        <v>3.0962367341761063</v>
      </c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</row>
    <row r="38" spans="1:36" ht="15.75" customHeight="1" x14ac:dyDescent="0.2">
      <c r="A38" s="38"/>
      <c r="B38" s="38" t="s">
        <v>57</v>
      </c>
      <c r="C38" s="44">
        <f t="shared" si="14"/>
        <v>2539539.1460000002</v>
      </c>
      <c r="D38" s="44">
        <f t="shared" si="14"/>
        <v>289492.14950000006</v>
      </c>
      <c r="E38" s="44">
        <f t="shared" si="14"/>
        <v>3161510.9413999994</v>
      </c>
      <c r="F38" s="45">
        <f t="shared" si="15"/>
        <v>9.1567657005104455E-2</v>
      </c>
      <c r="G38" s="46">
        <f t="shared" si="16"/>
        <v>0.10164009927566596</v>
      </c>
      <c r="H38" s="47">
        <v>32.5</v>
      </c>
      <c r="I38" s="48">
        <f t="shared" si="17"/>
        <v>2.9759488526658946</v>
      </c>
      <c r="J38" s="38"/>
      <c r="K38" s="38"/>
      <c r="L38" s="38"/>
      <c r="M38" s="38" t="s">
        <v>57</v>
      </c>
      <c r="N38" s="44">
        <f t="shared" si="18"/>
        <v>2691436.3170000007</v>
      </c>
      <c r="O38" s="44">
        <f t="shared" si="18"/>
        <v>227208.75940000004</v>
      </c>
      <c r="P38" s="44">
        <f t="shared" si="19"/>
        <v>2918645.0764000006</v>
      </c>
      <c r="Q38" s="45">
        <f t="shared" si="20"/>
        <v>7.7847341301344672E-2</v>
      </c>
      <c r="R38" s="46">
        <f t="shared" si="21"/>
        <v>8.6410548844492591E-2</v>
      </c>
      <c r="S38" s="47">
        <v>32.5</v>
      </c>
      <c r="T38" s="48">
        <f t="shared" si="22"/>
        <v>2.5300385922937019</v>
      </c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</row>
    <row r="39" spans="1:36" ht="15.75" customHeight="1" x14ac:dyDescent="0.2">
      <c r="A39" s="38"/>
      <c r="B39" s="38" t="s">
        <v>58</v>
      </c>
      <c r="C39" s="44">
        <f t="shared" si="14"/>
        <v>2539921.2510000002</v>
      </c>
      <c r="D39" s="44">
        <f t="shared" si="14"/>
        <v>147518.7114</v>
      </c>
      <c r="E39" s="44">
        <f t="shared" si="14"/>
        <v>2884618.0932999998</v>
      </c>
      <c r="F39" s="45">
        <f t="shared" si="15"/>
        <v>5.1139771931208666E-2</v>
      </c>
      <c r="G39" s="46">
        <f t="shared" si="16"/>
        <v>5.6765146843641624E-2</v>
      </c>
      <c r="H39" s="47">
        <v>37.5</v>
      </c>
      <c r="I39" s="48">
        <f t="shared" si="17"/>
        <v>1.9177414474203249</v>
      </c>
      <c r="J39" s="38"/>
      <c r="K39" s="38"/>
      <c r="L39" s="38"/>
      <c r="M39" s="38" t="s">
        <v>58</v>
      </c>
      <c r="N39" s="44">
        <f t="shared" si="18"/>
        <v>2427977.0720000006</v>
      </c>
      <c r="O39" s="44">
        <f t="shared" si="18"/>
        <v>110007.554</v>
      </c>
      <c r="P39" s="44">
        <f t="shared" si="19"/>
        <v>2537984.6260000006</v>
      </c>
      <c r="Q39" s="45">
        <f t="shared" si="20"/>
        <v>4.3344452473448501E-2</v>
      </c>
      <c r="R39" s="46">
        <f t="shared" si="21"/>
        <v>4.8112342245527843E-2</v>
      </c>
      <c r="S39" s="47">
        <v>37.5</v>
      </c>
      <c r="T39" s="48">
        <f t="shared" si="22"/>
        <v>1.6254169677543189</v>
      </c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</row>
    <row r="40" spans="1:36" ht="15.75" customHeight="1" x14ac:dyDescent="0.2">
      <c r="A40" s="38"/>
      <c r="B40" s="38" t="s">
        <v>59</v>
      </c>
      <c r="C40" s="44">
        <f t="shared" si="14"/>
        <v>2348719.6218000003</v>
      </c>
      <c r="D40" s="44">
        <f t="shared" si="14"/>
        <v>46396.283919999994</v>
      </c>
      <c r="E40" s="44">
        <f t="shared" si="14"/>
        <v>2535129.8053999995</v>
      </c>
      <c r="F40" s="45">
        <f t="shared" si="15"/>
        <v>1.8301344499667332E-2</v>
      </c>
      <c r="G40" s="46">
        <f t="shared" si="16"/>
        <v>2.0314492394630741E-2</v>
      </c>
      <c r="H40" s="47">
        <v>42.5</v>
      </c>
      <c r="I40" s="48">
        <f t="shared" si="17"/>
        <v>0.77780714123586159</v>
      </c>
      <c r="J40" s="38"/>
      <c r="K40" s="38"/>
      <c r="L40" s="38"/>
      <c r="M40" s="38" t="s">
        <v>59</v>
      </c>
      <c r="N40" s="44">
        <f t="shared" si="18"/>
        <v>2399338.1639999999</v>
      </c>
      <c r="O40" s="44">
        <f t="shared" si="18"/>
        <v>35333.764099999993</v>
      </c>
      <c r="P40" s="44">
        <f t="shared" si="19"/>
        <v>2434671.9280999997</v>
      </c>
      <c r="Q40" s="45">
        <f t="shared" si="20"/>
        <v>1.4512741405604577E-2</v>
      </c>
      <c r="R40" s="46">
        <f t="shared" si="21"/>
        <v>1.6109142960221083E-2</v>
      </c>
      <c r="S40" s="47">
        <v>42.5</v>
      </c>
      <c r="T40" s="48">
        <f t="shared" si="22"/>
        <v>0.61679150973819452</v>
      </c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</row>
    <row r="41" spans="1:36" ht="15.75" customHeight="1" x14ac:dyDescent="0.2">
      <c r="A41" s="38"/>
      <c r="B41" s="38" t="s">
        <v>60</v>
      </c>
      <c r="C41" s="44">
        <f t="shared" si="14"/>
        <v>2184027.0166999996</v>
      </c>
      <c r="D41" s="44">
        <f t="shared" si="14"/>
        <v>7466.9158969999999</v>
      </c>
      <c r="E41" s="44">
        <f t="shared" si="14"/>
        <v>2329581.3304000003</v>
      </c>
      <c r="F41" s="45">
        <f t="shared" si="15"/>
        <v>3.2052608765189127E-3</v>
      </c>
      <c r="G41" s="46">
        <f t="shared" si="16"/>
        <v>3.5578395729359935E-3</v>
      </c>
      <c r="H41" s="47">
        <v>47.5</v>
      </c>
      <c r="I41" s="48">
        <f t="shared" si="17"/>
        <v>0.15224989163464836</v>
      </c>
      <c r="J41" s="38"/>
      <c r="K41" s="38"/>
      <c r="L41" s="38"/>
      <c r="M41" s="38" t="s">
        <v>60</v>
      </c>
      <c r="N41" s="44">
        <f t="shared" si="18"/>
        <v>2424010.0360000003</v>
      </c>
      <c r="O41" s="44">
        <f t="shared" si="18"/>
        <v>6415.4538000000011</v>
      </c>
      <c r="P41" s="44">
        <f t="shared" si="19"/>
        <v>2430425.4898000001</v>
      </c>
      <c r="Q41" s="45">
        <f t="shared" si="20"/>
        <v>2.6396422465631438E-3</v>
      </c>
      <c r="R41" s="46">
        <f t="shared" si="21"/>
        <v>2.93000289368509E-3</v>
      </c>
      <c r="S41" s="47">
        <v>47.5</v>
      </c>
      <c r="T41" s="48">
        <f t="shared" si="22"/>
        <v>0.12538300671174932</v>
      </c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</row>
    <row r="42" spans="1:36" ht="15.75" customHeight="1" x14ac:dyDescent="0.2">
      <c r="A42" s="38"/>
      <c r="B42" s="38"/>
      <c r="C42" s="38"/>
      <c r="D42" s="38"/>
      <c r="E42" s="49"/>
      <c r="F42" s="47">
        <f>SUM(F35:F41)*5</f>
        <v>2.7858310685129215</v>
      </c>
      <c r="G42" s="47">
        <f>SUM(G35:G41)*5</f>
        <v>3.0922724860493438</v>
      </c>
      <c r="H42" s="25"/>
      <c r="I42" s="48">
        <f>SUM(I35:I41)/SUM(F35:F41)</f>
        <v>26.891542338633503</v>
      </c>
      <c r="J42" s="38"/>
      <c r="K42" s="38"/>
      <c r="L42" s="38"/>
      <c r="M42" s="38"/>
      <c r="N42" s="38"/>
      <c r="O42" s="38"/>
      <c r="P42" s="44">
        <f>SUM(P35:P41)</f>
        <v>24075690.380580001</v>
      </c>
      <c r="Q42" s="47">
        <f>SUM(Q35:Q41)*5</f>
        <v>2.1300979634873549</v>
      </c>
      <c r="R42" s="47">
        <f>SUM(R35:R41)*5</f>
        <v>2.3644087394709645</v>
      </c>
      <c r="S42" s="25"/>
      <c r="T42" s="48">
        <f>SUM(T35:T41)/SUM(Q35:Q41)</f>
        <v>27.371775492593763</v>
      </c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</row>
    <row r="43" spans="1:36" ht="15.75" customHeight="1" x14ac:dyDescent="0.2">
      <c r="A43" s="38"/>
      <c r="B43" s="38"/>
      <c r="C43" s="38"/>
      <c r="D43" s="38"/>
      <c r="E43" s="38"/>
      <c r="F43" s="38"/>
      <c r="G43" s="51">
        <f>F42*1.1</f>
        <v>3.064414175364214</v>
      </c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51">
        <f>Q42*1.1</f>
        <v>2.3431077598360908</v>
      </c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</row>
    <row r="44" spans="1:36" ht="15.75" customHeight="1" x14ac:dyDescent="0.2">
      <c r="A44" s="38"/>
      <c r="B44" s="38"/>
      <c r="C44" s="38">
        <v>1940</v>
      </c>
      <c r="D44" s="38">
        <v>1950</v>
      </c>
      <c r="E44" s="38">
        <v>1960</v>
      </c>
      <c r="F44" s="38">
        <v>1970</v>
      </c>
      <c r="G44" s="38">
        <v>1980</v>
      </c>
      <c r="H44" s="38">
        <v>1991</v>
      </c>
      <c r="I44" s="38">
        <v>2000</v>
      </c>
      <c r="J44" s="38">
        <v>2010</v>
      </c>
      <c r="K44" s="38">
        <v>2020</v>
      </c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38"/>
    </row>
    <row r="45" spans="1:36" ht="15.75" customHeight="1" x14ac:dyDescent="0.2">
      <c r="A45" s="38"/>
      <c r="B45" s="38"/>
      <c r="C45" s="38">
        <v>6.16</v>
      </c>
      <c r="D45" s="38">
        <v>6.21</v>
      </c>
      <c r="E45" s="38">
        <v>6.28</v>
      </c>
      <c r="F45" s="38">
        <v>5.76</v>
      </c>
      <c r="G45" s="38">
        <v>4.3499999999999996</v>
      </c>
      <c r="H45" s="38">
        <v>2.89</v>
      </c>
      <c r="I45" s="38">
        <v>2.38</v>
      </c>
      <c r="J45" s="38">
        <v>1.9</v>
      </c>
      <c r="K45" s="38">
        <v>1.55</v>
      </c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</row>
    <row r="46" spans="1:36" ht="15" customHeight="1" x14ac:dyDescent="0.2">
      <c r="D46" s="157">
        <f>D45/C45-1</f>
        <v>8.116883116883189E-3</v>
      </c>
      <c r="E46" s="157">
        <f>E45/D45-1</f>
        <v>1.1272141706924366E-2</v>
      </c>
      <c r="F46" s="157">
        <f>F45/E45-1</f>
        <v>-8.280254777070073E-2</v>
      </c>
      <c r="G46" s="157">
        <f t="shared" ref="G46:K46" si="23">G45/F45-1</f>
        <v>-0.24479166666666674</v>
      </c>
      <c r="H46" s="157">
        <f>H45/G45-1</f>
        <v>-0.33563218390804594</v>
      </c>
      <c r="I46" s="157">
        <f t="shared" si="23"/>
        <v>-0.17647058823529416</v>
      </c>
      <c r="J46" s="157">
        <f t="shared" si="23"/>
        <v>-0.20168067226890751</v>
      </c>
      <c r="K46" s="157">
        <f t="shared" si="23"/>
        <v>-0.18421052631578938</v>
      </c>
    </row>
    <row r="47" spans="1:36" ht="15" customHeight="1" x14ac:dyDescent="0.2">
      <c r="C47" s="1">
        <v>6.2</v>
      </c>
      <c r="D47" s="1">
        <v>6.3</v>
      </c>
      <c r="E47" s="1">
        <v>6.3</v>
      </c>
      <c r="F47" s="1">
        <v>5.8</v>
      </c>
      <c r="G47" s="1">
        <v>4.4000000000000004</v>
      </c>
      <c r="H47" s="1">
        <v>2.7</v>
      </c>
      <c r="I47" s="1">
        <v>2.4</v>
      </c>
      <c r="J47" s="96"/>
      <c r="K47" s="96"/>
    </row>
    <row r="48" spans="1:36" ht="15" customHeight="1" x14ac:dyDescent="0.2">
      <c r="D48" s="90">
        <f>D47/C47-1</f>
        <v>1.6129032258064502E-2</v>
      </c>
      <c r="E48" s="90">
        <f t="shared" ref="E48:I48" si="24">E47/D47-1</f>
        <v>0</v>
      </c>
      <c r="F48" s="90">
        <f t="shared" si="24"/>
        <v>-7.9365079365079416E-2</v>
      </c>
      <c r="G48" s="90">
        <f t="shared" si="24"/>
        <v>-0.24137931034482751</v>
      </c>
      <c r="H48" s="90">
        <f t="shared" si="24"/>
        <v>-0.38636363636363635</v>
      </c>
      <c r="I48" s="90">
        <f t="shared" si="24"/>
        <v>-0.11111111111111116</v>
      </c>
    </row>
    <row r="64" spans="1:36" ht="15.75" customHeight="1" x14ac:dyDescent="0.2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</row>
    <row r="65" spans="1:36" ht="15.75" customHeight="1" x14ac:dyDescent="0.2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</row>
    <row r="66" spans="1:36" ht="15.75" customHeight="1" x14ac:dyDescent="0.2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</row>
    <row r="67" spans="1:36" ht="15.75" customHeight="1" x14ac:dyDescent="0.2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</row>
    <row r="68" spans="1:36" ht="15.75" customHeight="1" x14ac:dyDescent="0.2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</row>
    <row r="69" spans="1:36" ht="15.75" customHeight="1" x14ac:dyDescent="0.2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</row>
    <row r="70" spans="1:36" ht="15.75" customHeight="1" x14ac:dyDescent="0.2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38"/>
      <c r="AI70" s="38"/>
      <c r="AJ70" s="38"/>
    </row>
    <row r="71" spans="1:36" ht="15.75" customHeight="1" x14ac:dyDescent="0.2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</row>
    <row r="72" spans="1:36" ht="15.75" customHeight="1" x14ac:dyDescent="0.2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</row>
    <row r="73" spans="1:36" ht="15.75" customHeight="1" x14ac:dyDescent="0.2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8"/>
      <c r="AH73" s="38"/>
      <c r="AI73" s="38"/>
      <c r="AJ73" s="38"/>
    </row>
    <row r="74" spans="1:36" ht="15.75" customHeight="1" x14ac:dyDescent="0.2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38"/>
      <c r="AI74" s="38"/>
      <c r="AJ74" s="38"/>
    </row>
    <row r="75" spans="1:36" ht="15.75" customHeight="1" x14ac:dyDescent="0.2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</row>
    <row r="76" spans="1:36" ht="15.75" customHeight="1" x14ac:dyDescent="0.2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</row>
    <row r="77" spans="1:36" ht="15.75" customHeight="1" x14ac:dyDescent="0.2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</row>
    <row r="78" spans="1:36" ht="15.75" customHeight="1" x14ac:dyDescent="0.2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38"/>
      <c r="AI78" s="38"/>
      <c r="AJ78" s="38"/>
    </row>
    <row r="79" spans="1:36" ht="15.75" customHeight="1" x14ac:dyDescent="0.2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</row>
    <row r="80" spans="1:36" ht="15.75" customHeight="1" x14ac:dyDescent="0.2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38"/>
    </row>
    <row r="81" spans="1:36" ht="15.75" customHeight="1" x14ac:dyDescent="0.2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</row>
    <row r="82" spans="1:36" ht="15.75" customHeight="1" x14ac:dyDescent="0.2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</row>
    <row r="83" spans="1:36" ht="15.75" customHeight="1" x14ac:dyDescent="0.2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38"/>
      <c r="AE83" s="38"/>
      <c r="AF83" s="38"/>
      <c r="AG83" s="38"/>
      <c r="AH83" s="38"/>
      <c r="AI83" s="38"/>
      <c r="AJ83" s="38"/>
    </row>
    <row r="84" spans="1:36" ht="15.75" customHeight="1" x14ac:dyDescent="0.2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/>
      <c r="AG84" s="38"/>
      <c r="AH84" s="38"/>
      <c r="AI84" s="38"/>
      <c r="AJ84" s="38"/>
    </row>
    <row r="85" spans="1:36" ht="15.75" customHeight="1" x14ac:dyDescent="0.2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</row>
    <row r="86" spans="1:36" ht="15.75" customHeight="1" x14ac:dyDescent="0.2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</row>
    <row r="87" spans="1:36" ht="15.75" customHeight="1" x14ac:dyDescent="0.2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</row>
    <row r="88" spans="1:36" ht="15.75" customHeight="1" x14ac:dyDescent="0.2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I88" s="38"/>
      <c r="AJ88" s="38"/>
    </row>
    <row r="89" spans="1:36" ht="15.75" customHeight="1" x14ac:dyDescent="0.2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38"/>
      <c r="AI89" s="38"/>
      <c r="AJ89" s="38"/>
    </row>
    <row r="90" spans="1:36" ht="15.75" customHeight="1" x14ac:dyDescent="0.2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  <c r="AH90" s="38"/>
      <c r="AI90" s="38"/>
      <c r="AJ90" s="38"/>
    </row>
    <row r="91" spans="1:36" ht="15.75" customHeight="1" x14ac:dyDescent="0.2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  <c r="AH91" s="38"/>
      <c r="AI91" s="38"/>
      <c r="AJ91" s="38"/>
    </row>
    <row r="92" spans="1:36" ht="15.75" customHeight="1" x14ac:dyDescent="0.2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  <c r="AH92" s="38"/>
      <c r="AI92" s="38"/>
      <c r="AJ92" s="38"/>
    </row>
    <row r="93" spans="1:36" ht="15.75" customHeight="1" x14ac:dyDescent="0.2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  <c r="AH93" s="38"/>
      <c r="AI93" s="38"/>
      <c r="AJ93" s="38"/>
    </row>
    <row r="94" spans="1:36" ht="15.75" customHeight="1" x14ac:dyDescent="0.2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  <c r="AH94" s="38"/>
      <c r="AI94" s="38"/>
      <c r="AJ94" s="38"/>
    </row>
    <row r="95" spans="1:36" ht="15.75" customHeight="1" x14ac:dyDescent="0.2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8"/>
      <c r="AH95" s="38"/>
      <c r="AI95" s="38"/>
      <c r="AJ95" s="38"/>
    </row>
    <row r="96" spans="1:36" ht="15.75" customHeight="1" x14ac:dyDescent="0.2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8"/>
      <c r="AH96" s="38"/>
      <c r="AI96" s="38"/>
      <c r="AJ96" s="38"/>
    </row>
    <row r="97" spans="1:36" ht="15.75" customHeight="1" x14ac:dyDescent="0.2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  <c r="AH97" s="38"/>
      <c r="AI97" s="38"/>
      <c r="AJ97" s="38"/>
    </row>
    <row r="98" spans="1:36" ht="15.75" customHeight="1" x14ac:dyDescent="0.2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8"/>
      <c r="AH98" s="38"/>
      <c r="AI98" s="38"/>
      <c r="AJ98" s="38"/>
    </row>
    <row r="99" spans="1:36" ht="15.75" customHeight="1" x14ac:dyDescent="0.2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8"/>
      <c r="AH99" s="38"/>
      <c r="AI99" s="38"/>
      <c r="AJ99" s="38"/>
    </row>
    <row r="100" spans="1:36" ht="15.75" customHeight="1" x14ac:dyDescent="0.2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  <c r="AG100" s="38"/>
      <c r="AH100" s="38"/>
      <c r="AI100" s="38"/>
      <c r="AJ100" s="38"/>
    </row>
    <row r="101" spans="1:36" ht="15.75" customHeight="1" x14ac:dyDescent="0.2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  <c r="AG101" s="38"/>
      <c r="AH101" s="38"/>
      <c r="AI101" s="38"/>
      <c r="AJ101" s="38"/>
    </row>
    <row r="102" spans="1:36" ht="15.75" customHeight="1" x14ac:dyDescent="0.2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38"/>
      <c r="AH102" s="38"/>
      <c r="AI102" s="38"/>
      <c r="AJ102" s="38"/>
    </row>
    <row r="103" spans="1:36" ht="15.75" customHeight="1" x14ac:dyDescent="0.2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  <c r="AD103" s="38"/>
      <c r="AE103" s="38"/>
      <c r="AF103" s="38"/>
      <c r="AG103" s="38"/>
      <c r="AH103" s="38"/>
      <c r="AI103" s="38"/>
      <c r="AJ103" s="38"/>
    </row>
    <row r="104" spans="1:36" ht="15.75" customHeight="1" x14ac:dyDescent="0.2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  <c r="AD104" s="38"/>
      <c r="AE104" s="38"/>
      <c r="AF104" s="38"/>
      <c r="AG104" s="38"/>
      <c r="AH104" s="38"/>
      <c r="AI104" s="38"/>
      <c r="AJ104" s="38"/>
    </row>
    <row r="105" spans="1:36" ht="15.75" customHeight="1" x14ac:dyDescent="0.2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  <c r="AD105" s="38"/>
      <c r="AE105" s="38"/>
      <c r="AF105" s="38"/>
      <c r="AG105" s="38"/>
      <c r="AH105" s="38"/>
      <c r="AI105" s="38"/>
      <c r="AJ105" s="38"/>
    </row>
    <row r="106" spans="1:36" ht="15.75" customHeight="1" x14ac:dyDescent="0.2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  <c r="AD106" s="38"/>
      <c r="AE106" s="38"/>
      <c r="AF106" s="38"/>
      <c r="AG106" s="38"/>
      <c r="AH106" s="38"/>
      <c r="AI106" s="38"/>
      <c r="AJ106" s="38"/>
    </row>
    <row r="107" spans="1:36" ht="15.75" customHeight="1" x14ac:dyDescent="0.2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  <c r="AC107" s="38"/>
      <c r="AD107" s="38"/>
      <c r="AE107" s="38"/>
      <c r="AF107" s="38"/>
      <c r="AG107" s="38"/>
      <c r="AH107" s="38"/>
      <c r="AI107" s="38"/>
      <c r="AJ107" s="38"/>
    </row>
    <row r="108" spans="1:36" ht="15.75" customHeight="1" x14ac:dyDescent="0.2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  <c r="AD108" s="38"/>
      <c r="AE108" s="38"/>
      <c r="AF108" s="38"/>
      <c r="AG108" s="38"/>
      <c r="AH108" s="38"/>
      <c r="AI108" s="38"/>
      <c r="AJ108" s="38"/>
    </row>
    <row r="109" spans="1:36" ht="15.75" customHeight="1" x14ac:dyDescent="0.2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  <c r="AD109" s="38"/>
      <c r="AE109" s="38"/>
      <c r="AF109" s="38"/>
      <c r="AG109" s="38"/>
      <c r="AH109" s="38"/>
      <c r="AI109" s="38"/>
      <c r="AJ109" s="38"/>
    </row>
    <row r="110" spans="1:36" ht="15.75" customHeight="1" x14ac:dyDescent="0.2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8"/>
      <c r="AH110" s="38"/>
      <c r="AI110" s="38"/>
      <c r="AJ110" s="38"/>
    </row>
    <row r="111" spans="1:36" ht="15.75" customHeight="1" x14ac:dyDescent="0.2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</row>
    <row r="112" spans="1:36" ht="15.75" customHeight="1" x14ac:dyDescent="0.2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</row>
    <row r="113" spans="1:36" ht="15.75" customHeight="1" x14ac:dyDescent="0.2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</row>
    <row r="114" spans="1:36" ht="15.75" customHeight="1" x14ac:dyDescent="0.2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</row>
    <row r="115" spans="1:36" ht="15.75" customHeight="1" x14ac:dyDescent="0.2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</row>
    <row r="116" spans="1:36" ht="15.75" customHeight="1" x14ac:dyDescent="0.2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</row>
    <row r="117" spans="1:36" ht="15.75" customHeight="1" x14ac:dyDescent="0.2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</row>
    <row r="118" spans="1:36" ht="15.75" customHeight="1" x14ac:dyDescent="0.2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</row>
    <row r="119" spans="1:36" ht="15.75" customHeight="1" x14ac:dyDescent="0.2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</row>
    <row r="120" spans="1:36" ht="15.75" customHeight="1" x14ac:dyDescent="0.2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8"/>
      <c r="AC120" s="38"/>
      <c r="AD120" s="38"/>
      <c r="AE120" s="38"/>
      <c r="AF120" s="38"/>
      <c r="AG120" s="38"/>
      <c r="AH120" s="38"/>
      <c r="AI120" s="38"/>
      <c r="AJ120" s="38"/>
    </row>
    <row r="121" spans="1:36" ht="15.75" customHeight="1" x14ac:dyDescent="0.2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38"/>
      <c r="AC121" s="38"/>
      <c r="AD121" s="38"/>
      <c r="AE121" s="38"/>
      <c r="AF121" s="38"/>
      <c r="AG121" s="38"/>
      <c r="AH121" s="38"/>
      <c r="AI121" s="38"/>
      <c r="AJ121" s="38"/>
    </row>
    <row r="122" spans="1:36" ht="15.75" customHeight="1" x14ac:dyDescent="0.2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  <c r="AB122" s="38"/>
      <c r="AC122" s="38"/>
      <c r="AD122" s="38"/>
      <c r="AE122" s="38"/>
      <c r="AF122" s="38"/>
      <c r="AG122" s="38"/>
      <c r="AH122" s="38"/>
      <c r="AI122" s="38"/>
      <c r="AJ122" s="38"/>
    </row>
    <row r="123" spans="1:36" ht="15.75" customHeight="1" x14ac:dyDescent="0.2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38"/>
      <c r="AC123" s="38"/>
      <c r="AD123" s="38"/>
      <c r="AE123" s="38"/>
      <c r="AF123" s="38"/>
      <c r="AG123" s="38"/>
      <c r="AH123" s="38"/>
      <c r="AI123" s="38"/>
      <c r="AJ123" s="38"/>
    </row>
    <row r="124" spans="1:36" ht="15.75" customHeight="1" x14ac:dyDescent="0.2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  <c r="AB124" s="38"/>
      <c r="AC124" s="38"/>
      <c r="AD124" s="38"/>
      <c r="AE124" s="38"/>
      <c r="AF124" s="38"/>
      <c r="AG124" s="38"/>
      <c r="AH124" s="38"/>
      <c r="AI124" s="38"/>
      <c r="AJ124" s="38"/>
    </row>
    <row r="125" spans="1:36" ht="15.75" customHeight="1" x14ac:dyDescent="0.2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  <c r="AC125" s="38"/>
      <c r="AD125" s="38"/>
      <c r="AE125" s="38"/>
      <c r="AF125" s="38"/>
      <c r="AG125" s="38"/>
      <c r="AH125" s="38"/>
      <c r="AI125" s="38"/>
      <c r="AJ125" s="38"/>
    </row>
    <row r="126" spans="1:36" ht="15.75" customHeight="1" x14ac:dyDescent="0.2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  <c r="AB126" s="38"/>
      <c r="AC126" s="38"/>
      <c r="AD126" s="38"/>
      <c r="AE126" s="38"/>
      <c r="AF126" s="38"/>
      <c r="AG126" s="38"/>
      <c r="AH126" s="38"/>
      <c r="AI126" s="38"/>
      <c r="AJ126" s="38"/>
    </row>
    <row r="127" spans="1:36" ht="15.75" customHeight="1" x14ac:dyDescent="0.2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  <c r="AB127" s="38"/>
      <c r="AC127" s="38"/>
      <c r="AD127" s="38"/>
      <c r="AE127" s="38"/>
      <c r="AF127" s="38"/>
      <c r="AG127" s="38"/>
      <c r="AH127" s="38"/>
      <c r="AI127" s="38"/>
      <c r="AJ127" s="38"/>
    </row>
    <row r="128" spans="1:36" ht="15.75" customHeight="1" x14ac:dyDescent="0.2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  <c r="AB128" s="38"/>
      <c r="AC128" s="38"/>
      <c r="AD128" s="38"/>
      <c r="AE128" s="38"/>
      <c r="AF128" s="38"/>
      <c r="AG128" s="38"/>
      <c r="AH128" s="38"/>
      <c r="AI128" s="38"/>
      <c r="AJ128" s="38"/>
    </row>
    <row r="129" spans="1:36" ht="15.75" customHeight="1" x14ac:dyDescent="0.2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  <c r="AB129" s="38"/>
      <c r="AC129" s="38"/>
      <c r="AD129" s="38"/>
      <c r="AE129" s="38"/>
      <c r="AF129" s="38"/>
      <c r="AG129" s="38"/>
      <c r="AH129" s="38"/>
      <c r="AI129" s="38"/>
      <c r="AJ129" s="38"/>
    </row>
    <row r="130" spans="1:36" ht="15.75" customHeight="1" x14ac:dyDescent="0.2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  <c r="AB130" s="38"/>
      <c r="AC130" s="38"/>
      <c r="AD130" s="38"/>
      <c r="AE130" s="38"/>
      <c r="AF130" s="38"/>
      <c r="AG130" s="38"/>
      <c r="AH130" s="38"/>
      <c r="AI130" s="38"/>
      <c r="AJ130" s="38"/>
    </row>
    <row r="131" spans="1:36" ht="15.75" customHeight="1" x14ac:dyDescent="0.2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  <c r="AB131" s="38"/>
      <c r="AC131" s="38"/>
      <c r="AD131" s="38"/>
      <c r="AE131" s="38"/>
      <c r="AF131" s="38"/>
      <c r="AG131" s="38"/>
      <c r="AH131" s="38"/>
      <c r="AI131" s="38"/>
      <c r="AJ131" s="38"/>
    </row>
    <row r="132" spans="1:36" ht="15.75" customHeight="1" x14ac:dyDescent="0.2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  <c r="AB132" s="38"/>
      <c r="AC132" s="38"/>
      <c r="AD132" s="38"/>
      <c r="AE132" s="38"/>
      <c r="AF132" s="38"/>
      <c r="AG132" s="38"/>
      <c r="AH132" s="38"/>
      <c r="AI132" s="38"/>
      <c r="AJ132" s="38"/>
    </row>
    <row r="133" spans="1:36" ht="15.75" customHeight="1" x14ac:dyDescent="0.2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  <c r="AB133" s="38"/>
      <c r="AC133" s="38"/>
      <c r="AD133" s="38"/>
      <c r="AE133" s="38"/>
      <c r="AF133" s="38"/>
      <c r="AG133" s="38"/>
      <c r="AH133" s="38"/>
      <c r="AI133" s="38"/>
      <c r="AJ133" s="38"/>
    </row>
    <row r="134" spans="1:36" ht="15.75" customHeight="1" x14ac:dyDescent="0.2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  <c r="AD134" s="38"/>
      <c r="AE134" s="38"/>
      <c r="AF134" s="38"/>
      <c r="AG134" s="38"/>
      <c r="AH134" s="38"/>
      <c r="AI134" s="38"/>
      <c r="AJ134" s="38"/>
    </row>
    <row r="135" spans="1:36" ht="15.75" customHeight="1" x14ac:dyDescent="0.2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  <c r="AB135" s="38"/>
      <c r="AC135" s="38"/>
      <c r="AD135" s="38"/>
      <c r="AE135" s="38"/>
      <c r="AF135" s="38"/>
      <c r="AG135" s="38"/>
      <c r="AH135" s="38"/>
      <c r="AI135" s="38"/>
      <c r="AJ135" s="38"/>
    </row>
    <row r="136" spans="1:36" ht="15.75" customHeight="1" x14ac:dyDescent="0.2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  <c r="AB136" s="38"/>
      <c r="AC136" s="38"/>
      <c r="AD136" s="38"/>
      <c r="AE136" s="38"/>
      <c r="AF136" s="38"/>
      <c r="AG136" s="38"/>
      <c r="AH136" s="38"/>
      <c r="AI136" s="38"/>
      <c r="AJ136" s="38"/>
    </row>
    <row r="137" spans="1:36" ht="15.75" customHeight="1" x14ac:dyDescent="0.2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  <c r="AB137" s="38"/>
      <c r="AC137" s="38"/>
      <c r="AD137" s="38"/>
      <c r="AE137" s="38"/>
      <c r="AF137" s="38"/>
      <c r="AG137" s="38"/>
      <c r="AH137" s="38"/>
      <c r="AI137" s="38"/>
      <c r="AJ137" s="38"/>
    </row>
    <row r="138" spans="1:36" ht="15.75" customHeight="1" x14ac:dyDescent="0.2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  <c r="AB138" s="38"/>
      <c r="AC138" s="38"/>
      <c r="AD138" s="38"/>
      <c r="AE138" s="38"/>
      <c r="AF138" s="38"/>
      <c r="AG138" s="38"/>
      <c r="AH138" s="38"/>
      <c r="AI138" s="38"/>
      <c r="AJ138" s="38"/>
    </row>
    <row r="139" spans="1:36" ht="15.75" customHeight="1" x14ac:dyDescent="0.2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8"/>
      <c r="AH139" s="38"/>
      <c r="AI139" s="38"/>
      <c r="AJ139" s="38"/>
    </row>
    <row r="140" spans="1:36" ht="15.75" customHeight="1" x14ac:dyDescent="0.2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8"/>
      <c r="AH140" s="38"/>
      <c r="AI140" s="38"/>
      <c r="AJ140" s="38"/>
    </row>
    <row r="141" spans="1:36" ht="15.75" customHeight="1" x14ac:dyDescent="0.2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8"/>
      <c r="AH141" s="38"/>
      <c r="AI141" s="38"/>
      <c r="AJ141" s="38"/>
    </row>
    <row r="142" spans="1:36" ht="15.75" customHeight="1" x14ac:dyDescent="0.2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8"/>
      <c r="AH142" s="38"/>
      <c r="AI142" s="38"/>
      <c r="AJ142" s="38"/>
    </row>
    <row r="143" spans="1:36" ht="15.75" customHeight="1" x14ac:dyDescent="0.2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8"/>
      <c r="AH143" s="38"/>
      <c r="AI143" s="38"/>
      <c r="AJ143" s="38"/>
    </row>
    <row r="144" spans="1:36" ht="15.75" customHeight="1" x14ac:dyDescent="0.2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8"/>
      <c r="AH144" s="38"/>
      <c r="AI144" s="38"/>
      <c r="AJ144" s="38"/>
    </row>
    <row r="145" spans="1:36" ht="15.75" customHeight="1" x14ac:dyDescent="0.2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8"/>
      <c r="AH145" s="38"/>
      <c r="AI145" s="38"/>
      <c r="AJ145" s="38"/>
    </row>
    <row r="146" spans="1:36" ht="15.75" customHeight="1" x14ac:dyDescent="0.2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8"/>
      <c r="AH146" s="38"/>
      <c r="AI146" s="38"/>
      <c r="AJ146" s="38"/>
    </row>
    <row r="147" spans="1:36" ht="15.75" customHeight="1" x14ac:dyDescent="0.2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8"/>
      <c r="AH147" s="38"/>
      <c r="AI147" s="38"/>
      <c r="AJ147" s="38"/>
    </row>
    <row r="148" spans="1:36" ht="15.75" customHeight="1" x14ac:dyDescent="0.2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8"/>
      <c r="AH148" s="38"/>
      <c r="AI148" s="38"/>
      <c r="AJ148" s="38"/>
    </row>
    <row r="149" spans="1:36" ht="15.75" customHeight="1" x14ac:dyDescent="0.2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8"/>
      <c r="AH149" s="38"/>
      <c r="AI149" s="38"/>
      <c r="AJ149" s="38"/>
    </row>
    <row r="150" spans="1:36" ht="15.75" customHeight="1" x14ac:dyDescent="0.2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8"/>
      <c r="AH150" s="38"/>
      <c r="AI150" s="38"/>
      <c r="AJ150" s="38"/>
    </row>
    <row r="151" spans="1:36" ht="15.75" customHeight="1" x14ac:dyDescent="0.2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8"/>
      <c r="AH151" s="38"/>
      <c r="AI151" s="38"/>
      <c r="AJ151" s="38"/>
    </row>
    <row r="152" spans="1:36" ht="15.75" customHeight="1" x14ac:dyDescent="0.2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8"/>
      <c r="AH152" s="38"/>
      <c r="AI152" s="38"/>
      <c r="AJ152" s="38"/>
    </row>
    <row r="153" spans="1:36" ht="15.75" customHeight="1" x14ac:dyDescent="0.2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8"/>
      <c r="AH153" s="38"/>
      <c r="AI153" s="38"/>
      <c r="AJ153" s="38"/>
    </row>
    <row r="154" spans="1:36" ht="15.75" customHeight="1" x14ac:dyDescent="0.2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8"/>
      <c r="AH154" s="38"/>
      <c r="AI154" s="38"/>
      <c r="AJ154" s="38"/>
    </row>
    <row r="155" spans="1:36" ht="15.75" customHeight="1" x14ac:dyDescent="0.2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  <c r="AB155" s="38"/>
      <c r="AC155" s="38"/>
      <c r="AD155" s="38"/>
      <c r="AE155" s="38"/>
      <c r="AF155" s="38"/>
      <c r="AG155" s="38"/>
      <c r="AH155" s="38"/>
      <c r="AI155" s="38"/>
      <c r="AJ155" s="38"/>
    </row>
    <row r="156" spans="1:36" ht="15.75" customHeight="1" x14ac:dyDescent="0.2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  <c r="AB156" s="38"/>
      <c r="AC156" s="38"/>
      <c r="AD156" s="38"/>
      <c r="AE156" s="38"/>
      <c r="AF156" s="38"/>
      <c r="AG156" s="38"/>
      <c r="AH156" s="38"/>
      <c r="AI156" s="38"/>
      <c r="AJ156" s="38"/>
    </row>
    <row r="157" spans="1:36" ht="15.75" customHeight="1" x14ac:dyDescent="0.2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  <c r="AB157" s="38"/>
      <c r="AC157" s="38"/>
      <c r="AD157" s="38"/>
      <c r="AE157" s="38"/>
      <c r="AF157" s="38"/>
      <c r="AG157" s="38"/>
      <c r="AH157" s="38"/>
      <c r="AI157" s="38"/>
      <c r="AJ157" s="38"/>
    </row>
    <row r="158" spans="1:36" ht="15.75" customHeight="1" x14ac:dyDescent="0.2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  <c r="AB158" s="38"/>
      <c r="AC158" s="38"/>
      <c r="AD158" s="38"/>
      <c r="AE158" s="38"/>
      <c r="AF158" s="38"/>
      <c r="AG158" s="38"/>
      <c r="AH158" s="38"/>
      <c r="AI158" s="38"/>
      <c r="AJ158" s="38"/>
    </row>
    <row r="159" spans="1:36" ht="15.75" customHeight="1" x14ac:dyDescent="0.2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  <c r="AB159" s="38"/>
      <c r="AC159" s="38"/>
      <c r="AD159" s="38"/>
      <c r="AE159" s="38"/>
      <c r="AF159" s="38"/>
      <c r="AG159" s="38"/>
      <c r="AH159" s="38"/>
      <c r="AI159" s="38"/>
      <c r="AJ159" s="38"/>
    </row>
    <row r="160" spans="1:36" ht="15.75" customHeight="1" x14ac:dyDescent="0.2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  <c r="AB160" s="38"/>
      <c r="AC160" s="38"/>
      <c r="AD160" s="38"/>
      <c r="AE160" s="38"/>
      <c r="AF160" s="38"/>
      <c r="AG160" s="38"/>
      <c r="AH160" s="38"/>
      <c r="AI160" s="38"/>
      <c r="AJ160" s="38"/>
    </row>
    <row r="161" spans="1:36" ht="15.75" customHeight="1" x14ac:dyDescent="0.2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  <c r="AB161" s="38"/>
      <c r="AC161" s="38"/>
      <c r="AD161" s="38"/>
      <c r="AE161" s="38"/>
      <c r="AF161" s="38"/>
      <c r="AG161" s="38"/>
      <c r="AH161" s="38"/>
      <c r="AI161" s="38"/>
      <c r="AJ161" s="38"/>
    </row>
    <row r="162" spans="1:36" ht="15.75" customHeight="1" x14ac:dyDescent="0.2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  <c r="AB162" s="38"/>
      <c r="AC162" s="38"/>
      <c r="AD162" s="38"/>
      <c r="AE162" s="38"/>
      <c r="AF162" s="38"/>
      <c r="AG162" s="38"/>
      <c r="AH162" s="38"/>
      <c r="AI162" s="38"/>
      <c r="AJ162" s="38"/>
    </row>
    <row r="163" spans="1:36" ht="15.75" customHeight="1" x14ac:dyDescent="0.2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  <c r="AB163" s="38"/>
      <c r="AC163" s="38"/>
      <c r="AD163" s="38"/>
      <c r="AE163" s="38"/>
      <c r="AF163" s="38"/>
      <c r="AG163" s="38"/>
      <c r="AH163" s="38"/>
      <c r="AI163" s="38"/>
      <c r="AJ163" s="38"/>
    </row>
    <row r="164" spans="1:36" ht="15.75" customHeight="1" x14ac:dyDescent="0.2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  <c r="AB164" s="38"/>
      <c r="AC164" s="38"/>
      <c r="AD164" s="38"/>
      <c r="AE164" s="38"/>
      <c r="AF164" s="38"/>
      <c r="AG164" s="38"/>
      <c r="AH164" s="38"/>
      <c r="AI164" s="38"/>
      <c r="AJ164" s="38"/>
    </row>
    <row r="165" spans="1:36" ht="15.75" customHeight="1" x14ac:dyDescent="0.2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  <c r="AB165" s="38"/>
      <c r="AC165" s="38"/>
      <c r="AD165" s="38"/>
      <c r="AE165" s="38"/>
      <c r="AF165" s="38"/>
      <c r="AG165" s="38"/>
      <c r="AH165" s="38"/>
      <c r="AI165" s="38"/>
      <c r="AJ165" s="38"/>
    </row>
    <row r="166" spans="1:36" ht="15.75" customHeight="1" x14ac:dyDescent="0.2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  <c r="AB166" s="38"/>
      <c r="AC166" s="38"/>
      <c r="AD166" s="38"/>
      <c r="AE166" s="38"/>
      <c r="AF166" s="38"/>
      <c r="AG166" s="38"/>
      <c r="AH166" s="38"/>
      <c r="AI166" s="38"/>
      <c r="AJ166" s="38"/>
    </row>
    <row r="167" spans="1:36" ht="15.75" customHeight="1" x14ac:dyDescent="0.2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  <c r="AB167" s="38"/>
      <c r="AC167" s="38"/>
      <c r="AD167" s="38"/>
      <c r="AE167" s="38"/>
      <c r="AF167" s="38"/>
      <c r="AG167" s="38"/>
      <c r="AH167" s="38"/>
      <c r="AI167" s="38"/>
      <c r="AJ167" s="38"/>
    </row>
    <row r="168" spans="1:36" ht="15.75" customHeight="1" x14ac:dyDescent="0.2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  <c r="AB168" s="38"/>
      <c r="AC168" s="38"/>
      <c r="AD168" s="38"/>
      <c r="AE168" s="38"/>
      <c r="AF168" s="38"/>
      <c r="AG168" s="38"/>
      <c r="AH168" s="38"/>
      <c r="AI168" s="38"/>
      <c r="AJ168" s="38"/>
    </row>
    <row r="169" spans="1:36" ht="15.75" customHeight="1" x14ac:dyDescent="0.2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  <c r="AB169" s="38"/>
      <c r="AC169" s="38"/>
      <c r="AD169" s="38"/>
      <c r="AE169" s="38"/>
      <c r="AF169" s="38"/>
      <c r="AG169" s="38"/>
      <c r="AH169" s="38"/>
      <c r="AI169" s="38"/>
      <c r="AJ169" s="38"/>
    </row>
    <row r="170" spans="1:36" ht="15.75" customHeight="1" x14ac:dyDescent="0.2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  <c r="AB170" s="38"/>
      <c r="AC170" s="38"/>
      <c r="AD170" s="38"/>
      <c r="AE170" s="38"/>
      <c r="AF170" s="38"/>
      <c r="AG170" s="38"/>
      <c r="AH170" s="38"/>
      <c r="AI170" s="38"/>
      <c r="AJ170" s="38"/>
    </row>
    <row r="171" spans="1:36" ht="15.75" customHeight="1" x14ac:dyDescent="0.2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  <c r="AB171" s="38"/>
      <c r="AC171" s="38"/>
      <c r="AD171" s="38"/>
      <c r="AE171" s="38"/>
      <c r="AF171" s="38"/>
      <c r="AG171" s="38"/>
      <c r="AH171" s="38"/>
      <c r="AI171" s="38"/>
      <c r="AJ171" s="38"/>
    </row>
    <row r="172" spans="1:36" ht="15.75" customHeight="1" x14ac:dyDescent="0.2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  <c r="AB172" s="38"/>
      <c r="AC172" s="38"/>
      <c r="AD172" s="38"/>
      <c r="AE172" s="38"/>
      <c r="AF172" s="38"/>
      <c r="AG172" s="38"/>
      <c r="AH172" s="38"/>
      <c r="AI172" s="38"/>
      <c r="AJ172" s="38"/>
    </row>
    <row r="173" spans="1:36" ht="15.75" customHeight="1" x14ac:dyDescent="0.2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  <c r="AB173" s="38"/>
      <c r="AC173" s="38"/>
      <c r="AD173" s="38"/>
      <c r="AE173" s="38"/>
      <c r="AF173" s="38"/>
      <c r="AG173" s="38"/>
      <c r="AH173" s="38"/>
      <c r="AI173" s="38"/>
      <c r="AJ173" s="38"/>
    </row>
    <row r="174" spans="1:36" ht="15.75" customHeight="1" x14ac:dyDescent="0.2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  <c r="AB174" s="38"/>
      <c r="AC174" s="38"/>
      <c r="AD174" s="38"/>
      <c r="AE174" s="38"/>
      <c r="AF174" s="38"/>
      <c r="AG174" s="38"/>
      <c r="AH174" s="38"/>
      <c r="AI174" s="38"/>
      <c r="AJ174" s="38"/>
    </row>
    <row r="175" spans="1:36" ht="15.75" customHeight="1" x14ac:dyDescent="0.2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  <c r="AB175" s="38"/>
      <c r="AC175" s="38"/>
      <c r="AD175" s="38"/>
      <c r="AE175" s="38"/>
      <c r="AF175" s="38"/>
      <c r="AG175" s="38"/>
      <c r="AH175" s="38"/>
      <c r="AI175" s="38"/>
      <c r="AJ175" s="38"/>
    </row>
    <row r="176" spans="1:36" ht="15.75" customHeight="1" x14ac:dyDescent="0.2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  <c r="AB176" s="38"/>
      <c r="AC176" s="38"/>
      <c r="AD176" s="38"/>
      <c r="AE176" s="38"/>
      <c r="AF176" s="38"/>
      <c r="AG176" s="38"/>
      <c r="AH176" s="38"/>
      <c r="AI176" s="38"/>
      <c r="AJ176" s="38"/>
    </row>
    <row r="177" spans="1:36" ht="15.75" customHeight="1" x14ac:dyDescent="0.2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  <c r="AB177" s="38"/>
      <c r="AC177" s="38"/>
      <c r="AD177" s="38"/>
      <c r="AE177" s="38"/>
      <c r="AF177" s="38"/>
      <c r="AG177" s="38"/>
      <c r="AH177" s="38"/>
      <c r="AI177" s="38"/>
      <c r="AJ177" s="38"/>
    </row>
    <row r="178" spans="1:36" ht="15.75" customHeight="1" x14ac:dyDescent="0.2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  <c r="AC178" s="38"/>
      <c r="AD178" s="38"/>
      <c r="AE178" s="38"/>
      <c r="AF178" s="38"/>
      <c r="AG178" s="38"/>
      <c r="AH178" s="38"/>
      <c r="AI178" s="38"/>
      <c r="AJ178" s="38"/>
    </row>
    <row r="179" spans="1:36" ht="15.75" customHeight="1" x14ac:dyDescent="0.2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  <c r="AB179" s="38"/>
      <c r="AC179" s="38"/>
      <c r="AD179" s="38"/>
      <c r="AE179" s="38"/>
      <c r="AF179" s="38"/>
      <c r="AG179" s="38"/>
      <c r="AH179" s="38"/>
      <c r="AI179" s="38"/>
      <c r="AJ179" s="38"/>
    </row>
    <row r="180" spans="1:36" ht="15.75" customHeight="1" x14ac:dyDescent="0.2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  <c r="AB180" s="38"/>
      <c r="AC180" s="38"/>
      <c r="AD180" s="38"/>
      <c r="AE180" s="38"/>
      <c r="AF180" s="38"/>
      <c r="AG180" s="38"/>
      <c r="AH180" s="38"/>
      <c r="AI180" s="38"/>
      <c r="AJ180" s="38"/>
    </row>
    <row r="181" spans="1:36" ht="15.75" customHeight="1" x14ac:dyDescent="0.2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  <c r="AB181" s="38"/>
      <c r="AC181" s="38"/>
      <c r="AD181" s="38"/>
      <c r="AE181" s="38"/>
      <c r="AF181" s="38"/>
      <c r="AG181" s="38"/>
      <c r="AH181" s="38"/>
      <c r="AI181" s="38"/>
      <c r="AJ181" s="38"/>
    </row>
    <row r="182" spans="1:36" ht="15.75" customHeight="1" x14ac:dyDescent="0.2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  <c r="AB182" s="38"/>
      <c r="AC182" s="38"/>
      <c r="AD182" s="38"/>
      <c r="AE182" s="38"/>
      <c r="AF182" s="38"/>
      <c r="AG182" s="38"/>
      <c r="AH182" s="38"/>
      <c r="AI182" s="38"/>
      <c r="AJ182" s="38"/>
    </row>
    <row r="183" spans="1:36" ht="15.75" customHeight="1" x14ac:dyDescent="0.2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  <c r="AB183" s="38"/>
      <c r="AC183" s="38"/>
      <c r="AD183" s="38"/>
      <c r="AE183" s="38"/>
      <c r="AF183" s="38"/>
      <c r="AG183" s="38"/>
      <c r="AH183" s="38"/>
      <c r="AI183" s="38"/>
      <c r="AJ183" s="38"/>
    </row>
    <row r="184" spans="1:36" ht="15.75" customHeight="1" x14ac:dyDescent="0.2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  <c r="AB184" s="38"/>
      <c r="AC184" s="38"/>
      <c r="AD184" s="38"/>
      <c r="AE184" s="38"/>
      <c r="AF184" s="38"/>
      <c r="AG184" s="38"/>
      <c r="AH184" s="38"/>
      <c r="AI184" s="38"/>
      <c r="AJ184" s="38"/>
    </row>
    <row r="185" spans="1:36" ht="15.75" customHeight="1" x14ac:dyDescent="0.2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  <c r="AB185" s="38"/>
      <c r="AC185" s="38"/>
      <c r="AD185" s="38"/>
      <c r="AE185" s="38"/>
      <c r="AF185" s="38"/>
      <c r="AG185" s="38"/>
      <c r="AH185" s="38"/>
      <c r="AI185" s="38"/>
      <c r="AJ185" s="38"/>
    </row>
    <row r="186" spans="1:36" ht="15.75" customHeight="1" x14ac:dyDescent="0.2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  <c r="AB186" s="38"/>
      <c r="AC186" s="38"/>
      <c r="AD186" s="38"/>
      <c r="AE186" s="38"/>
      <c r="AF186" s="38"/>
      <c r="AG186" s="38"/>
      <c r="AH186" s="38"/>
      <c r="AI186" s="38"/>
      <c r="AJ186" s="38"/>
    </row>
    <row r="187" spans="1:36" ht="15.75" customHeight="1" x14ac:dyDescent="0.2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  <c r="AB187" s="38"/>
      <c r="AC187" s="38"/>
      <c r="AD187" s="38"/>
      <c r="AE187" s="38"/>
      <c r="AF187" s="38"/>
      <c r="AG187" s="38"/>
      <c r="AH187" s="38"/>
      <c r="AI187" s="38"/>
      <c r="AJ187" s="38"/>
    </row>
    <row r="188" spans="1:36" ht="15.75" customHeight="1" x14ac:dyDescent="0.2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  <c r="AB188" s="38"/>
      <c r="AC188" s="38"/>
      <c r="AD188" s="38"/>
      <c r="AE188" s="38"/>
      <c r="AF188" s="38"/>
      <c r="AG188" s="38"/>
      <c r="AH188" s="38"/>
      <c r="AI188" s="38"/>
      <c r="AJ188" s="38"/>
    </row>
    <row r="189" spans="1:36" ht="15.75" customHeight="1" x14ac:dyDescent="0.2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  <c r="AB189" s="38"/>
      <c r="AC189" s="38"/>
      <c r="AD189" s="38"/>
      <c r="AE189" s="38"/>
      <c r="AF189" s="38"/>
      <c r="AG189" s="38"/>
      <c r="AH189" s="38"/>
      <c r="AI189" s="38"/>
      <c r="AJ189" s="38"/>
    </row>
    <row r="190" spans="1:36" ht="15.75" customHeight="1" x14ac:dyDescent="0.2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  <c r="AB190" s="38"/>
      <c r="AC190" s="38"/>
      <c r="AD190" s="38"/>
      <c r="AE190" s="38"/>
      <c r="AF190" s="38"/>
      <c r="AG190" s="38"/>
      <c r="AH190" s="38"/>
      <c r="AI190" s="38"/>
      <c r="AJ190" s="38"/>
    </row>
    <row r="191" spans="1:36" ht="15.75" customHeight="1" x14ac:dyDescent="0.2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  <c r="AB191" s="38"/>
      <c r="AC191" s="38"/>
      <c r="AD191" s="38"/>
      <c r="AE191" s="38"/>
      <c r="AF191" s="38"/>
      <c r="AG191" s="38"/>
      <c r="AH191" s="38"/>
      <c r="AI191" s="38"/>
      <c r="AJ191" s="38"/>
    </row>
    <row r="192" spans="1:36" ht="15.75" customHeight="1" x14ac:dyDescent="0.2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  <c r="AB192" s="38"/>
      <c r="AC192" s="38"/>
      <c r="AD192" s="38"/>
      <c r="AE192" s="38"/>
      <c r="AF192" s="38"/>
      <c r="AG192" s="38"/>
      <c r="AH192" s="38"/>
      <c r="AI192" s="38"/>
      <c r="AJ192" s="38"/>
    </row>
    <row r="193" spans="1:36" ht="15.75" customHeight="1" x14ac:dyDescent="0.2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  <c r="AB193" s="38"/>
      <c r="AC193" s="38"/>
      <c r="AD193" s="38"/>
      <c r="AE193" s="38"/>
      <c r="AF193" s="38"/>
      <c r="AG193" s="38"/>
      <c r="AH193" s="38"/>
      <c r="AI193" s="38"/>
      <c r="AJ193" s="38"/>
    </row>
    <row r="194" spans="1:36" ht="15.75" customHeight="1" x14ac:dyDescent="0.2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  <c r="AB194" s="38"/>
      <c r="AC194" s="38"/>
      <c r="AD194" s="38"/>
      <c r="AE194" s="38"/>
      <c r="AF194" s="38"/>
      <c r="AG194" s="38"/>
      <c r="AH194" s="38"/>
      <c r="AI194" s="38"/>
      <c r="AJ194" s="38"/>
    </row>
    <row r="195" spans="1:36" ht="15.75" customHeight="1" x14ac:dyDescent="0.2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  <c r="AB195" s="38"/>
      <c r="AC195" s="38"/>
      <c r="AD195" s="38"/>
      <c r="AE195" s="38"/>
      <c r="AF195" s="38"/>
      <c r="AG195" s="38"/>
      <c r="AH195" s="38"/>
      <c r="AI195" s="38"/>
      <c r="AJ195" s="38"/>
    </row>
    <row r="196" spans="1:36" ht="15.75" customHeight="1" x14ac:dyDescent="0.2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  <c r="AB196" s="38"/>
      <c r="AC196" s="38"/>
      <c r="AD196" s="38"/>
      <c r="AE196" s="38"/>
      <c r="AF196" s="38"/>
      <c r="AG196" s="38"/>
      <c r="AH196" s="38"/>
      <c r="AI196" s="38"/>
      <c r="AJ196" s="38"/>
    </row>
    <row r="197" spans="1:36" ht="15.75" customHeight="1" x14ac:dyDescent="0.2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8"/>
      <c r="AC197" s="38"/>
      <c r="AD197" s="38"/>
      <c r="AE197" s="38"/>
      <c r="AF197" s="38"/>
      <c r="AG197" s="38"/>
      <c r="AH197" s="38"/>
      <c r="AI197" s="38"/>
      <c r="AJ197" s="38"/>
    </row>
    <row r="198" spans="1:36" ht="15.75" customHeight="1" x14ac:dyDescent="0.2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  <c r="AB198" s="38"/>
      <c r="AC198" s="38"/>
      <c r="AD198" s="38"/>
      <c r="AE198" s="38"/>
      <c r="AF198" s="38"/>
      <c r="AG198" s="38"/>
      <c r="AH198" s="38"/>
      <c r="AI198" s="38"/>
      <c r="AJ198" s="38"/>
    </row>
    <row r="199" spans="1:36" ht="15.75" customHeight="1" x14ac:dyDescent="0.2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  <c r="AB199" s="38"/>
      <c r="AC199" s="38"/>
      <c r="AD199" s="38"/>
      <c r="AE199" s="38"/>
      <c r="AF199" s="38"/>
      <c r="AG199" s="38"/>
      <c r="AH199" s="38"/>
      <c r="AI199" s="38"/>
      <c r="AJ199" s="38"/>
    </row>
    <row r="200" spans="1:36" ht="15.75" customHeight="1" x14ac:dyDescent="0.2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  <c r="AB200" s="38"/>
      <c r="AC200" s="38"/>
      <c r="AD200" s="38"/>
      <c r="AE200" s="38"/>
      <c r="AF200" s="38"/>
      <c r="AG200" s="38"/>
      <c r="AH200" s="38"/>
      <c r="AI200" s="38"/>
      <c r="AJ200" s="38"/>
    </row>
    <row r="201" spans="1:36" ht="15.75" customHeight="1" x14ac:dyDescent="0.2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  <c r="AB201" s="38"/>
      <c r="AC201" s="38"/>
      <c r="AD201" s="38"/>
      <c r="AE201" s="38"/>
      <c r="AF201" s="38"/>
      <c r="AG201" s="38"/>
      <c r="AH201" s="38"/>
      <c r="AI201" s="38"/>
      <c r="AJ201" s="38"/>
    </row>
    <row r="202" spans="1:36" ht="15.75" customHeight="1" x14ac:dyDescent="0.2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  <c r="AB202" s="38"/>
      <c r="AC202" s="38"/>
      <c r="AD202" s="38"/>
      <c r="AE202" s="38"/>
      <c r="AF202" s="38"/>
      <c r="AG202" s="38"/>
      <c r="AH202" s="38"/>
      <c r="AI202" s="38"/>
      <c r="AJ202" s="38"/>
    </row>
    <row r="203" spans="1:36" ht="15.75" customHeight="1" x14ac:dyDescent="0.2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  <c r="AB203" s="38"/>
      <c r="AC203" s="38"/>
      <c r="AD203" s="38"/>
      <c r="AE203" s="38"/>
      <c r="AF203" s="38"/>
      <c r="AG203" s="38"/>
      <c r="AH203" s="38"/>
      <c r="AI203" s="38"/>
      <c r="AJ203" s="38"/>
    </row>
    <row r="204" spans="1:36" ht="15.75" customHeight="1" x14ac:dyDescent="0.2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  <c r="AB204" s="38"/>
      <c r="AC204" s="38"/>
      <c r="AD204" s="38"/>
      <c r="AE204" s="38"/>
      <c r="AF204" s="38"/>
      <c r="AG204" s="38"/>
      <c r="AH204" s="38"/>
      <c r="AI204" s="38"/>
      <c r="AJ204" s="38"/>
    </row>
    <row r="205" spans="1:36" ht="15.75" customHeight="1" x14ac:dyDescent="0.2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  <c r="AB205" s="38"/>
      <c r="AC205" s="38"/>
      <c r="AD205" s="38"/>
      <c r="AE205" s="38"/>
      <c r="AF205" s="38"/>
      <c r="AG205" s="38"/>
      <c r="AH205" s="38"/>
      <c r="AI205" s="38"/>
      <c r="AJ205" s="38"/>
    </row>
    <row r="206" spans="1:36" ht="15.75" customHeight="1" x14ac:dyDescent="0.2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  <c r="AB206" s="38"/>
      <c r="AC206" s="38"/>
      <c r="AD206" s="38"/>
      <c r="AE206" s="38"/>
      <c r="AF206" s="38"/>
      <c r="AG206" s="38"/>
      <c r="AH206" s="38"/>
      <c r="AI206" s="38"/>
      <c r="AJ206" s="38"/>
    </row>
    <row r="207" spans="1:36" ht="15.75" customHeight="1" x14ac:dyDescent="0.2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  <c r="AB207" s="38"/>
      <c r="AC207" s="38"/>
      <c r="AD207" s="38"/>
      <c r="AE207" s="38"/>
      <c r="AF207" s="38"/>
      <c r="AG207" s="38"/>
      <c r="AH207" s="38"/>
      <c r="AI207" s="38"/>
      <c r="AJ207" s="38"/>
    </row>
    <row r="208" spans="1:36" ht="15.75" customHeight="1" x14ac:dyDescent="0.2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  <c r="AB208" s="38"/>
      <c r="AC208" s="38"/>
      <c r="AD208" s="38"/>
      <c r="AE208" s="38"/>
      <c r="AF208" s="38"/>
      <c r="AG208" s="38"/>
      <c r="AH208" s="38"/>
      <c r="AI208" s="38"/>
      <c r="AJ208" s="38"/>
    </row>
    <row r="209" spans="1:36" ht="15.75" customHeight="1" x14ac:dyDescent="0.2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  <c r="AB209" s="38"/>
      <c r="AC209" s="38"/>
      <c r="AD209" s="38"/>
      <c r="AE209" s="38"/>
      <c r="AF209" s="38"/>
      <c r="AG209" s="38"/>
      <c r="AH209" s="38"/>
      <c r="AI209" s="38"/>
      <c r="AJ209" s="38"/>
    </row>
    <row r="210" spans="1:36" ht="15.75" customHeight="1" x14ac:dyDescent="0.2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  <c r="AB210" s="38"/>
      <c r="AC210" s="38"/>
      <c r="AD210" s="38"/>
      <c r="AE210" s="38"/>
      <c r="AF210" s="38"/>
      <c r="AG210" s="38"/>
      <c r="AH210" s="38"/>
      <c r="AI210" s="38"/>
      <c r="AJ210" s="38"/>
    </row>
    <row r="211" spans="1:36" ht="15.75" customHeight="1" x14ac:dyDescent="0.2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  <c r="AB211" s="38"/>
      <c r="AC211" s="38"/>
      <c r="AD211" s="38"/>
      <c r="AE211" s="38"/>
      <c r="AF211" s="38"/>
      <c r="AG211" s="38"/>
      <c r="AH211" s="38"/>
      <c r="AI211" s="38"/>
      <c r="AJ211" s="38"/>
    </row>
    <row r="212" spans="1:36" ht="15.75" customHeight="1" x14ac:dyDescent="0.2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  <c r="AB212" s="38"/>
      <c r="AC212" s="38"/>
      <c r="AD212" s="38"/>
      <c r="AE212" s="38"/>
      <c r="AF212" s="38"/>
      <c r="AG212" s="38"/>
      <c r="AH212" s="38"/>
      <c r="AI212" s="38"/>
      <c r="AJ212" s="38"/>
    </row>
    <row r="213" spans="1:36" ht="15.75" customHeight="1" x14ac:dyDescent="0.2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  <c r="AB213" s="38"/>
      <c r="AC213" s="38"/>
      <c r="AD213" s="38"/>
      <c r="AE213" s="38"/>
      <c r="AF213" s="38"/>
      <c r="AG213" s="38"/>
      <c r="AH213" s="38"/>
      <c r="AI213" s="38"/>
      <c r="AJ213" s="38"/>
    </row>
    <row r="214" spans="1:36" ht="15.75" customHeight="1" x14ac:dyDescent="0.2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  <c r="AB214" s="38"/>
      <c r="AC214" s="38"/>
      <c r="AD214" s="38"/>
      <c r="AE214" s="38"/>
      <c r="AF214" s="38"/>
      <c r="AG214" s="38"/>
      <c r="AH214" s="38"/>
      <c r="AI214" s="38"/>
      <c r="AJ214" s="38"/>
    </row>
    <row r="215" spans="1:36" ht="15.75" customHeight="1" x14ac:dyDescent="0.2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  <c r="AB215" s="38"/>
      <c r="AC215" s="38"/>
      <c r="AD215" s="38"/>
      <c r="AE215" s="38"/>
      <c r="AF215" s="38"/>
      <c r="AG215" s="38"/>
      <c r="AH215" s="38"/>
      <c r="AI215" s="38"/>
      <c r="AJ215" s="38"/>
    </row>
    <row r="216" spans="1:36" ht="15.75" customHeight="1" x14ac:dyDescent="0.2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  <c r="AB216" s="38"/>
      <c r="AC216" s="38"/>
      <c r="AD216" s="38"/>
      <c r="AE216" s="38"/>
      <c r="AF216" s="38"/>
      <c r="AG216" s="38"/>
      <c r="AH216" s="38"/>
      <c r="AI216" s="38"/>
      <c r="AJ216" s="38"/>
    </row>
    <row r="217" spans="1:36" ht="15.75" customHeight="1" x14ac:dyDescent="0.2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  <c r="AB217" s="38"/>
      <c r="AC217" s="38"/>
      <c r="AD217" s="38"/>
      <c r="AE217" s="38"/>
      <c r="AF217" s="38"/>
      <c r="AG217" s="38"/>
      <c r="AH217" s="38"/>
      <c r="AI217" s="38"/>
      <c r="AJ217" s="38"/>
    </row>
    <row r="218" spans="1:36" ht="15.75" customHeight="1" x14ac:dyDescent="0.2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  <c r="AB218" s="38"/>
      <c r="AC218" s="38"/>
      <c r="AD218" s="38"/>
      <c r="AE218" s="38"/>
      <c r="AF218" s="38"/>
      <c r="AG218" s="38"/>
      <c r="AH218" s="38"/>
      <c r="AI218" s="38"/>
      <c r="AJ218" s="38"/>
    </row>
    <row r="219" spans="1:36" ht="15.75" customHeight="1" x14ac:dyDescent="0.2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  <c r="AB219" s="38"/>
      <c r="AC219" s="38"/>
      <c r="AD219" s="38"/>
      <c r="AE219" s="38"/>
      <c r="AF219" s="38"/>
      <c r="AG219" s="38"/>
      <c r="AH219" s="38"/>
      <c r="AI219" s="38"/>
      <c r="AJ219" s="38"/>
    </row>
    <row r="220" spans="1:36" ht="15.75" customHeight="1" x14ac:dyDescent="0.2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  <c r="AB220" s="38"/>
      <c r="AC220" s="38"/>
      <c r="AD220" s="38"/>
      <c r="AE220" s="38"/>
      <c r="AF220" s="38"/>
      <c r="AG220" s="38"/>
      <c r="AH220" s="38"/>
      <c r="AI220" s="38"/>
      <c r="AJ220" s="38"/>
    </row>
    <row r="221" spans="1:36" ht="15.75" customHeight="1" x14ac:dyDescent="0.2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  <c r="AB221" s="38"/>
      <c r="AC221" s="38"/>
      <c r="AD221" s="38"/>
      <c r="AE221" s="38"/>
      <c r="AF221" s="38"/>
      <c r="AG221" s="38"/>
      <c r="AH221" s="38"/>
      <c r="AI221" s="38"/>
      <c r="AJ221" s="38"/>
    </row>
    <row r="222" spans="1:36" ht="15.75" customHeight="1" x14ac:dyDescent="0.2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  <c r="AB222" s="38"/>
      <c r="AC222" s="38"/>
      <c r="AD222" s="38"/>
      <c r="AE222" s="38"/>
      <c r="AF222" s="38"/>
      <c r="AG222" s="38"/>
      <c r="AH222" s="38"/>
      <c r="AI222" s="38"/>
      <c r="AJ222" s="38"/>
    </row>
    <row r="223" spans="1:36" ht="15.75" customHeight="1" x14ac:dyDescent="0.2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  <c r="AB223" s="38"/>
      <c r="AC223" s="38"/>
      <c r="AD223" s="38"/>
      <c r="AE223" s="38"/>
      <c r="AF223" s="38"/>
      <c r="AG223" s="38"/>
      <c r="AH223" s="38"/>
      <c r="AI223" s="38"/>
      <c r="AJ223" s="38"/>
    </row>
    <row r="224" spans="1:36" ht="15.75" customHeight="1" x14ac:dyDescent="0.2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  <c r="AB224" s="38"/>
      <c r="AC224" s="38"/>
      <c r="AD224" s="38"/>
      <c r="AE224" s="38"/>
      <c r="AF224" s="38"/>
      <c r="AG224" s="38"/>
      <c r="AH224" s="38"/>
      <c r="AI224" s="38"/>
      <c r="AJ224" s="38"/>
    </row>
    <row r="225" spans="1:36" ht="15.75" customHeight="1" x14ac:dyDescent="0.2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  <c r="AB225" s="38"/>
      <c r="AC225" s="38"/>
      <c r="AD225" s="38"/>
      <c r="AE225" s="38"/>
      <c r="AF225" s="38"/>
      <c r="AG225" s="38"/>
      <c r="AH225" s="38"/>
      <c r="AI225" s="38"/>
      <c r="AJ225" s="38"/>
    </row>
    <row r="226" spans="1:36" ht="15.75" customHeight="1" x14ac:dyDescent="0.2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38"/>
      <c r="AB226" s="38"/>
      <c r="AC226" s="38"/>
      <c r="AD226" s="38"/>
      <c r="AE226" s="38"/>
      <c r="AF226" s="38"/>
      <c r="AG226" s="38"/>
      <c r="AH226" s="38"/>
      <c r="AI226" s="38"/>
      <c r="AJ226" s="38"/>
    </row>
    <row r="227" spans="1:36" ht="15.75" customHeight="1" x14ac:dyDescent="0.2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  <c r="AB227" s="38"/>
      <c r="AC227" s="38"/>
      <c r="AD227" s="38"/>
      <c r="AE227" s="38"/>
      <c r="AF227" s="38"/>
      <c r="AG227" s="38"/>
      <c r="AH227" s="38"/>
      <c r="AI227" s="38"/>
      <c r="AJ227" s="38"/>
    </row>
    <row r="228" spans="1:36" ht="15.75" customHeight="1" x14ac:dyDescent="0.2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  <c r="AA228" s="38"/>
      <c r="AB228" s="38"/>
      <c r="AC228" s="38"/>
      <c r="AD228" s="38"/>
      <c r="AE228" s="38"/>
      <c r="AF228" s="38"/>
      <c r="AG228" s="38"/>
      <c r="AH228" s="38"/>
      <c r="AI228" s="38"/>
      <c r="AJ228" s="38"/>
    </row>
    <row r="229" spans="1:36" ht="15.75" customHeight="1" x14ac:dyDescent="0.2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  <c r="AA229" s="38"/>
      <c r="AB229" s="38"/>
      <c r="AC229" s="38"/>
      <c r="AD229" s="38"/>
      <c r="AE229" s="38"/>
      <c r="AF229" s="38"/>
      <c r="AG229" s="38"/>
      <c r="AH229" s="38"/>
      <c r="AI229" s="38"/>
      <c r="AJ229" s="38"/>
    </row>
    <row r="230" spans="1:36" ht="15.75" customHeight="1" x14ac:dyDescent="0.2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  <c r="AA230" s="38"/>
      <c r="AB230" s="38"/>
      <c r="AC230" s="38"/>
      <c r="AD230" s="38"/>
      <c r="AE230" s="38"/>
      <c r="AF230" s="38"/>
      <c r="AG230" s="38"/>
      <c r="AH230" s="38"/>
      <c r="AI230" s="38"/>
      <c r="AJ230" s="38"/>
    </row>
    <row r="231" spans="1:36" ht="15.75" customHeight="1" x14ac:dyDescent="0.2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  <c r="AA231" s="38"/>
      <c r="AB231" s="38"/>
      <c r="AC231" s="38"/>
      <c r="AD231" s="38"/>
      <c r="AE231" s="38"/>
      <c r="AF231" s="38"/>
      <c r="AG231" s="38"/>
      <c r="AH231" s="38"/>
      <c r="AI231" s="38"/>
      <c r="AJ231" s="38"/>
    </row>
    <row r="232" spans="1:36" ht="15.75" customHeight="1" x14ac:dyDescent="0.2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  <c r="AA232" s="38"/>
      <c r="AB232" s="38"/>
      <c r="AC232" s="38"/>
      <c r="AD232" s="38"/>
      <c r="AE232" s="38"/>
      <c r="AF232" s="38"/>
      <c r="AG232" s="38"/>
      <c r="AH232" s="38"/>
      <c r="AI232" s="38"/>
      <c r="AJ232" s="38"/>
    </row>
    <row r="233" spans="1:36" ht="15.75" customHeight="1" x14ac:dyDescent="0.2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  <c r="AA233" s="38"/>
      <c r="AB233" s="38"/>
      <c r="AC233" s="38"/>
      <c r="AD233" s="38"/>
      <c r="AE233" s="38"/>
      <c r="AF233" s="38"/>
      <c r="AG233" s="38"/>
      <c r="AH233" s="38"/>
      <c r="AI233" s="38"/>
      <c r="AJ233" s="38"/>
    </row>
    <row r="234" spans="1:36" ht="15.75" customHeight="1" x14ac:dyDescent="0.2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  <c r="AB234" s="38"/>
      <c r="AC234" s="38"/>
      <c r="AD234" s="38"/>
      <c r="AE234" s="38"/>
      <c r="AF234" s="38"/>
      <c r="AG234" s="38"/>
      <c r="AH234" s="38"/>
      <c r="AI234" s="38"/>
      <c r="AJ234" s="38"/>
    </row>
    <row r="235" spans="1:36" ht="15.75" customHeight="1" x14ac:dyDescent="0.2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  <c r="AA235" s="38"/>
      <c r="AB235" s="38"/>
      <c r="AC235" s="38"/>
      <c r="AD235" s="38"/>
      <c r="AE235" s="38"/>
      <c r="AF235" s="38"/>
      <c r="AG235" s="38"/>
      <c r="AH235" s="38"/>
      <c r="AI235" s="38"/>
      <c r="AJ235" s="38"/>
    </row>
    <row r="236" spans="1:36" ht="15.75" customHeight="1" x14ac:dyDescent="0.2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  <c r="AA236" s="38"/>
      <c r="AB236" s="38"/>
      <c r="AC236" s="38"/>
      <c r="AD236" s="38"/>
      <c r="AE236" s="38"/>
      <c r="AF236" s="38"/>
      <c r="AG236" s="38"/>
      <c r="AH236" s="38"/>
      <c r="AI236" s="38"/>
      <c r="AJ236" s="38"/>
    </row>
    <row r="237" spans="1:36" ht="15.75" customHeight="1" x14ac:dyDescent="0.2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  <c r="AA237" s="38"/>
      <c r="AB237" s="38"/>
      <c r="AC237" s="38"/>
      <c r="AD237" s="38"/>
      <c r="AE237" s="38"/>
      <c r="AF237" s="38"/>
      <c r="AG237" s="38"/>
      <c r="AH237" s="38"/>
      <c r="AI237" s="38"/>
      <c r="AJ237" s="38"/>
    </row>
    <row r="238" spans="1:36" ht="15.75" customHeight="1" x14ac:dyDescent="0.2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  <c r="AA238" s="38"/>
      <c r="AB238" s="38"/>
      <c r="AC238" s="38"/>
      <c r="AD238" s="38"/>
      <c r="AE238" s="38"/>
      <c r="AF238" s="38"/>
      <c r="AG238" s="38"/>
      <c r="AH238" s="38"/>
      <c r="AI238" s="38"/>
      <c r="AJ238" s="38"/>
    </row>
    <row r="239" spans="1:36" ht="15.75" customHeight="1" x14ac:dyDescent="0.2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  <c r="AA239" s="38"/>
      <c r="AB239" s="38"/>
      <c r="AC239" s="38"/>
      <c r="AD239" s="38"/>
      <c r="AE239" s="38"/>
      <c r="AF239" s="38"/>
      <c r="AG239" s="38"/>
      <c r="AH239" s="38"/>
      <c r="AI239" s="38"/>
      <c r="AJ239" s="38"/>
    </row>
    <row r="240" spans="1:36" ht="15.75" customHeight="1" x14ac:dyDescent="0.2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  <c r="AA240" s="38"/>
      <c r="AB240" s="38"/>
      <c r="AC240" s="38"/>
      <c r="AD240" s="38"/>
      <c r="AE240" s="38"/>
      <c r="AF240" s="38"/>
      <c r="AG240" s="38"/>
      <c r="AH240" s="38"/>
      <c r="AI240" s="38"/>
      <c r="AJ240" s="38"/>
    </row>
    <row r="241" spans="1:36" ht="15.75" customHeight="1" x14ac:dyDescent="0.2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  <c r="AA241" s="38"/>
      <c r="AB241" s="38"/>
      <c r="AC241" s="38"/>
      <c r="AD241" s="38"/>
      <c r="AE241" s="38"/>
      <c r="AF241" s="38"/>
      <c r="AG241" s="38"/>
      <c r="AH241" s="38"/>
      <c r="AI241" s="38"/>
      <c r="AJ241" s="38"/>
    </row>
    <row r="242" spans="1:36" ht="15.75" customHeight="1" x14ac:dyDescent="0.2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  <c r="AA242" s="38"/>
      <c r="AB242" s="38"/>
      <c r="AC242" s="38"/>
      <c r="AD242" s="38"/>
      <c r="AE242" s="38"/>
      <c r="AF242" s="38"/>
      <c r="AG242" s="38"/>
      <c r="AH242" s="38"/>
      <c r="AI242" s="38"/>
      <c r="AJ242" s="38"/>
    </row>
    <row r="243" spans="1:36" ht="15.75" customHeight="1" x14ac:dyDescent="0.2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  <c r="AA243" s="38"/>
      <c r="AB243" s="38"/>
      <c r="AC243" s="38"/>
      <c r="AD243" s="38"/>
      <c r="AE243" s="38"/>
      <c r="AF243" s="38"/>
      <c r="AG243" s="38"/>
      <c r="AH243" s="38"/>
      <c r="AI243" s="38"/>
      <c r="AJ243" s="38"/>
    </row>
    <row r="244" spans="1:36" ht="15.75" customHeight="1" x14ac:dyDescent="0.2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  <c r="AA244" s="38"/>
      <c r="AB244" s="38"/>
      <c r="AC244" s="38"/>
      <c r="AD244" s="38"/>
      <c r="AE244" s="38"/>
      <c r="AF244" s="38"/>
      <c r="AG244" s="38"/>
      <c r="AH244" s="38"/>
      <c r="AI244" s="38"/>
      <c r="AJ244" s="38"/>
    </row>
    <row r="245" spans="1:36" ht="15.75" customHeight="1" x14ac:dyDescent="0.2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  <c r="AA245" s="38"/>
      <c r="AB245" s="38"/>
      <c r="AC245" s="38"/>
      <c r="AD245" s="38"/>
      <c r="AE245" s="38"/>
      <c r="AF245" s="38"/>
      <c r="AG245" s="38"/>
      <c r="AH245" s="38"/>
      <c r="AI245" s="38"/>
      <c r="AJ245" s="38"/>
    </row>
    <row r="246" spans="1:36" ht="15.75" customHeight="1" x14ac:dyDescent="0.2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  <c r="AA246" s="38"/>
      <c r="AB246" s="38"/>
      <c r="AC246" s="38"/>
      <c r="AD246" s="38"/>
      <c r="AE246" s="38"/>
      <c r="AF246" s="38"/>
      <c r="AG246" s="38"/>
      <c r="AH246" s="38"/>
      <c r="AI246" s="38"/>
      <c r="AJ246" s="38"/>
    </row>
    <row r="247" spans="1:36" ht="15.75" customHeight="1" x14ac:dyDescent="0.2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  <c r="AA247" s="38"/>
      <c r="AB247" s="38"/>
      <c r="AC247" s="38"/>
      <c r="AD247" s="38"/>
      <c r="AE247" s="38"/>
      <c r="AF247" s="38"/>
      <c r="AG247" s="38"/>
      <c r="AH247" s="38"/>
      <c r="AI247" s="38"/>
      <c r="AJ247" s="38"/>
    </row>
    <row r="248" spans="1:36" ht="15.75" customHeight="1" x14ac:dyDescent="0.2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  <c r="AA248" s="38"/>
      <c r="AB248" s="38"/>
      <c r="AC248" s="38"/>
      <c r="AD248" s="38"/>
      <c r="AE248" s="38"/>
      <c r="AF248" s="38"/>
      <c r="AG248" s="38"/>
      <c r="AH248" s="38"/>
      <c r="AI248" s="38"/>
      <c r="AJ248" s="38"/>
    </row>
    <row r="249" spans="1:36" ht="15.75" customHeight="1" x14ac:dyDescent="0.2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  <c r="AA249" s="38"/>
      <c r="AB249" s="38"/>
      <c r="AC249" s="38"/>
      <c r="AD249" s="38"/>
      <c r="AE249" s="38"/>
      <c r="AF249" s="38"/>
      <c r="AG249" s="38"/>
      <c r="AH249" s="38"/>
      <c r="AI249" s="38"/>
      <c r="AJ249" s="38"/>
    </row>
    <row r="250" spans="1:36" ht="15.75" customHeight="1" x14ac:dyDescent="0.2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  <c r="AA250" s="38"/>
      <c r="AB250" s="38"/>
      <c r="AC250" s="38"/>
      <c r="AD250" s="38"/>
      <c r="AE250" s="38"/>
      <c r="AF250" s="38"/>
      <c r="AG250" s="38"/>
      <c r="AH250" s="38"/>
      <c r="AI250" s="38"/>
      <c r="AJ250" s="38"/>
    </row>
    <row r="251" spans="1:36" ht="15.75" customHeight="1" x14ac:dyDescent="0.2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  <c r="AA251" s="38"/>
      <c r="AB251" s="38"/>
      <c r="AC251" s="38"/>
      <c r="AD251" s="38"/>
      <c r="AE251" s="38"/>
      <c r="AF251" s="38"/>
      <c r="AG251" s="38"/>
      <c r="AH251" s="38"/>
      <c r="AI251" s="38"/>
      <c r="AJ251" s="38"/>
    </row>
    <row r="252" spans="1:36" ht="15.75" customHeight="1" x14ac:dyDescent="0.2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  <c r="AA252" s="38"/>
      <c r="AB252" s="38"/>
      <c r="AC252" s="38"/>
      <c r="AD252" s="38"/>
      <c r="AE252" s="38"/>
      <c r="AF252" s="38"/>
      <c r="AG252" s="38"/>
      <c r="AH252" s="38"/>
      <c r="AI252" s="38"/>
      <c r="AJ252" s="38"/>
    </row>
    <row r="253" spans="1:36" ht="15.75" customHeight="1" x14ac:dyDescent="0.2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  <c r="AA253" s="38"/>
      <c r="AB253" s="38"/>
      <c r="AC253" s="38"/>
      <c r="AD253" s="38"/>
      <c r="AE253" s="38"/>
      <c r="AF253" s="38"/>
      <c r="AG253" s="38"/>
      <c r="AH253" s="38"/>
      <c r="AI253" s="38"/>
      <c r="AJ253" s="38"/>
    </row>
    <row r="254" spans="1:36" ht="15.75" customHeight="1" x14ac:dyDescent="0.2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  <c r="AA254" s="38"/>
      <c r="AB254" s="38"/>
      <c r="AC254" s="38"/>
      <c r="AD254" s="38"/>
      <c r="AE254" s="38"/>
      <c r="AF254" s="38"/>
      <c r="AG254" s="38"/>
      <c r="AH254" s="38"/>
      <c r="AI254" s="38"/>
      <c r="AJ254" s="38"/>
    </row>
    <row r="255" spans="1:36" ht="15.75" customHeight="1" x14ac:dyDescent="0.2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  <c r="AA255" s="38"/>
      <c r="AB255" s="38"/>
      <c r="AC255" s="38"/>
      <c r="AD255" s="38"/>
      <c r="AE255" s="38"/>
      <c r="AF255" s="38"/>
      <c r="AG255" s="38"/>
      <c r="AH255" s="38"/>
      <c r="AI255" s="38"/>
      <c r="AJ255" s="38"/>
    </row>
    <row r="256" spans="1:36" ht="15.75" customHeight="1" x14ac:dyDescent="0.2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  <c r="AA256" s="38"/>
      <c r="AB256" s="38"/>
      <c r="AC256" s="38"/>
      <c r="AD256" s="38"/>
      <c r="AE256" s="38"/>
      <c r="AF256" s="38"/>
      <c r="AG256" s="38"/>
      <c r="AH256" s="38"/>
      <c r="AI256" s="38"/>
      <c r="AJ256" s="38"/>
    </row>
    <row r="257" spans="1:36" ht="15.75" customHeight="1" x14ac:dyDescent="0.2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  <c r="AA257" s="38"/>
      <c r="AB257" s="38"/>
      <c r="AC257" s="38"/>
      <c r="AD257" s="38"/>
      <c r="AE257" s="38"/>
      <c r="AF257" s="38"/>
      <c r="AG257" s="38"/>
      <c r="AH257" s="38"/>
      <c r="AI257" s="38"/>
      <c r="AJ257" s="38"/>
    </row>
    <row r="258" spans="1:36" ht="15.75" customHeight="1" x14ac:dyDescent="0.2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  <c r="AA258" s="38"/>
      <c r="AB258" s="38"/>
      <c r="AC258" s="38"/>
      <c r="AD258" s="38"/>
      <c r="AE258" s="38"/>
      <c r="AF258" s="38"/>
      <c r="AG258" s="38"/>
      <c r="AH258" s="38"/>
      <c r="AI258" s="38"/>
      <c r="AJ258" s="38"/>
    </row>
    <row r="259" spans="1:36" ht="15.75" customHeight="1" x14ac:dyDescent="0.2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  <c r="AA259" s="38"/>
      <c r="AB259" s="38"/>
      <c r="AC259" s="38"/>
      <c r="AD259" s="38"/>
      <c r="AE259" s="38"/>
      <c r="AF259" s="38"/>
      <c r="AG259" s="38"/>
      <c r="AH259" s="38"/>
      <c r="AI259" s="38"/>
      <c r="AJ259" s="38"/>
    </row>
    <row r="260" spans="1:36" ht="15.75" customHeight="1" x14ac:dyDescent="0.2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  <c r="AA260" s="38"/>
      <c r="AB260" s="38"/>
      <c r="AC260" s="38"/>
      <c r="AD260" s="38"/>
      <c r="AE260" s="38"/>
      <c r="AF260" s="38"/>
      <c r="AG260" s="38"/>
      <c r="AH260" s="38"/>
      <c r="AI260" s="38"/>
      <c r="AJ260" s="38"/>
    </row>
    <row r="261" spans="1:36" ht="15.75" customHeight="1" x14ac:dyDescent="0.2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  <c r="AA261" s="38"/>
      <c r="AB261" s="38"/>
      <c r="AC261" s="38"/>
      <c r="AD261" s="38"/>
      <c r="AE261" s="38"/>
      <c r="AF261" s="38"/>
      <c r="AG261" s="38"/>
      <c r="AH261" s="38"/>
      <c r="AI261" s="38"/>
      <c r="AJ261" s="38"/>
    </row>
    <row r="262" spans="1:36" ht="15.75" customHeight="1" x14ac:dyDescent="0.2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  <c r="AA262" s="38"/>
      <c r="AB262" s="38"/>
      <c r="AC262" s="38"/>
      <c r="AD262" s="38"/>
      <c r="AE262" s="38"/>
      <c r="AF262" s="38"/>
      <c r="AG262" s="38"/>
      <c r="AH262" s="38"/>
      <c r="AI262" s="38"/>
      <c r="AJ262" s="38"/>
    </row>
    <row r="263" spans="1:36" ht="15.75" customHeight="1" x14ac:dyDescent="0.2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  <c r="AA263" s="38"/>
      <c r="AB263" s="38"/>
      <c r="AC263" s="38"/>
      <c r="AD263" s="38"/>
      <c r="AE263" s="38"/>
      <c r="AF263" s="38"/>
      <c r="AG263" s="38"/>
      <c r="AH263" s="38"/>
      <c r="AI263" s="38"/>
      <c r="AJ263" s="38"/>
    </row>
    <row r="264" spans="1:36" ht="15.75" customHeight="1" x14ac:dyDescent="0.2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  <c r="AA264" s="38"/>
      <c r="AB264" s="38"/>
      <c r="AC264" s="38"/>
      <c r="AD264" s="38"/>
      <c r="AE264" s="38"/>
      <c r="AF264" s="38"/>
      <c r="AG264" s="38"/>
      <c r="AH264" s="38"/>
      <c r="AI264" s="38"/>
      <c r="AJ264" s="38"/>
    </row>
    <row r="265" spans="1:36" ht="15.75" customHeight="1" x14ac:dyDescent="0.2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  <c r="AA265" s="38"/>
      <c r="AB265" s="38"/>
      <c r="AC265" s="38"/>
      <c r="AD265" s="38"/>
      <c r="AE265" s="38"/>
      <c r="AF265" s="38"/>
      <c r="AG265" s="38"/>
      <c r="AH265" s="38"/>
      <c r="AI265" s="38"/>
      <c r="AJ265" s="38"/>
    </row>
    <row r="266" spans="1:36" ht="15.75" customHeight="1" x14ac:dyDescent="0.2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  <c r="AA266" s="38"/>
      <c r="AB266" s="38"/>
      <c r="AC266" s="38"/>
      <c r="AD266" s="38"/>
      <c r="AE266" s="38"/>
      <c r="AF266" s="38"/>
      <c r="AG266" s="38"/>
      <c r="AH266" s="38"/>
      <c r="AI266" s="38"/>
      <c r="AJ266" s="38"/>
    </row>
    <row r="267" spans="1:36" ht="15.75" customHeight="1" x14ac:dyDescent="0.2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  <c r="AA267" s="38"/>
      <c r="AB267" s="38"/>
      <c r="AC267" s="38"/>
      <c r="AD267" s="38"/>
      <c r="AE267" s="38"/>
      <c r="AF267" s="38"/>
      <c r="AG267" s="38"/>
      <c r="AH267" s="38"/>
      <c r="AI267" s="38"/>
      <c r="AJ267" s="38"/>
    </row>
    <row r="268" spans="1:36" ht="15.75" customHeight="1" x14ac:dyDescent="0.2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  <c r="AA268" s="38"/>
      <c r="AB268" s="38"/>
      <c r="AC268" s="38"/>
      <c r="AD268" s="38"/>
      <c r="AE268" s="38"/>
      <c r="AF268" s="38"/>
      <c r="AG268" s="38"/>
      <c r="AH268" s="38"/>
      <c r="AI268" s="38"/>
      <c r="AJ268" s="38"/>
    </row>
    <row r="269" spans="1:36" ht="15.75" customHeight="1" x14ac:dyDescent="0.2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  <c r="AA269" s="38"/>
      <c r="AB269" s="38"/>
      <c r="AC269" s="38"/>
      <c r="AD269" s="38"/>
      <c r="AE269" s="38"/>
      <c r="AF269" s="38"/>
      <c r="AG269" s="38"/>
      <c r="AH269" s="38"/>
      <c r="AI269" s="38"/>
      <c r="AJ269" s="38"/>
    </row>
    <row r="270" spans="1:36" ht="15.75" customHeight="1" x14ac:dyDescent="0.2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  <c r="AA270" s="38"/>
      <c r="AB270" s="38"/>
      <c r="AC270" s="38"/>
      <c r="AD270" s="38"/>
      <c r="AE270" s="38"/>
      <c r="AF270" s="38"/>
      <c r="AG270" s="38"/>
      <c r="AH270" s="38"/>
      <c r="AI270" s="38"/>
      <c r="AJ270" s="38"/>
    </row>
    <row r="271" spans="1:36" ht="15.75" customHeight="1" x14ac:dyDescent="0.2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  <c r="AA271" s="38"/>
      <c r="AB271" s="38"/>
      <c r="AC271" s="38"/>
      <c r="AD271" s="38"/>
      <c r="AE271" s="38"/>
      <c r="AF271" s="38"/>
      <c r="AG271" s="38"/>
      <c r="AH271" s="38"/>
      <c r="AI271" s="38"/>
      <c r="AJ271" s="38"/>
    </row>
    <row r="272" spans="1:36" ht="15.75" customHeight="1" x14ac:dyDescent="0.2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  <c r="AA272" s="38"/>
      <c r="AB272" s="38"/>
      <c r="AC272" s="38"/>
      <c r="AD272" s="38"/>
      <c r="AE272" s="38"/>
      <c r="AF272" s="38"/>
      <c r="AG272" s="38"/>
      <c r="AH272" s="38"/>
      <c r="AI272" s="38"/>
      <c r="AJ272" s="38"/>
    </row>
    <row r="273" spans="1:36" ht="15.75" customHeight="1" x14ac:dyDescent="0.2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  <c r="AA273" s="38"/>
      <c r="AB273" s="38"/>
      <c r="AC273" s="38"/>
      <c r="AD273" s="38"/>
      <c r="AE273" s="38"/>
      <c r="AF273" s="38"/>
      <c r="AG273" s="38"/>
      <c r="AH273" s="38"/>
      <c r="AI273" s="38"/>
      <c r="AJ273" s="38"/>
    </row>
    <row r="274" spans="1:36" ht="15.75" customHeight="1" x14ac:dyDescent="0.2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  <c r="AA274" s="38"/>
      <c r="AB274" s="38"/>
      <c r="AC274" s="38"/>
      <c r="AD274" s="38"/>
      <c r="AE274" s="38"/>
      <c r="AF274" s="38"/>
      <c r="AG274" s="38"/>
      <c r="AH274" s="38"/>
      <c r="AI274" s="38"/>
      <c r="AJ274" s="38"/>
    </row>
    <row r="275" spans="1:36" ht="15.75" customHeight="1" x14ac:dyDescent="0.2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  <c r="AA275" s="38"/>
      <c r="AB275" s="38"/>
      <c r="AC275" s="38"/>
      <c r="AD275" s="38"/>
      <c r="AE275" s="38"/>
      <c r="AF275" s="38"/>
      <c r="AG275" s="38"/>
      <c r="AH275" s="38"/>
      <c r="AI275" s="38"/>
      <c r="AJ275" s="38"/>
    </row>
    <row r="276" spans="1:36" ht="15.75" customHeight="1" x14ac:dyDescent="0.2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  <c r="AA276" s="38"/>
      <c r="AB276" s="38"/>
      <c r="AC276" s="38"/>
      <c r="AD276" s="38"/>
      <c r="AE276" s="38"/>
      <c r="AF276" s="38"/>
      <c r="AG276" s="38"/>
      <c r="AH276" s="38"/>
      <c r="AI276" s="38"/>
      <c r="AJ276" s="38"/>
    </row>
    <row r="277" spans="1:36" ht="15.75" customHeight="1" x14ac:dyDescent="0.2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  <c r="AA277" s="38"/>
      <c r="AB277" s="38"/>
      <c r="AC277" s="38"/>
      <c r="AD277" s="38"/>
      <c r="AE277" s="38"/>
      <c r="AF277" s="38"/>
      <c r="AG277" s="38"/>
      <c r="AH277" s="38"/>
      <c r="AI277" s="38"/>
      <c r="AJ277" s="38"/>
    </row>
    <row r="278" spans="1:36" ht="15.75" customHeight="1" x14ac:dyDescent="0.2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  <c r="AA278" s="38"/>
      <c r="AB278" s="38"/>
      <c r="AC278" s="38"/>
      <c r="AD278" s="38"/>
      <c r="AE278" s="38"/>
      <c r="AF278" s="38"/>
      <c r="AG278" s="38"/>
      <c r="AH278" s="38"/>
      <c r="AI278" s="38"/>
      <c r="AJ278" s="38"/>
    </row>
    <row r="279" spans="1:36" ht="15.75" customHeight="1" x14ac:dyDescent="0.2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  <c r="AA279" s="38"/>
      <c r="AB279" s="38"/>
      <c r="AC279" s="38"/>
      <c r="AD279" s="38"/>
      <c r="AE279" s="38"/>
      <c r="AF279" s="38"/>
      <c r="AG279" s="38"/>
      <c r="AH279" s="38"/>
      <c r="AI279" s="38"/>
      <c r="AJ279" s="38"/>
    </row>
    <row r="280" spans="1:36" ht="15.75" customHeight="1" x14ac:dyDescent="0.2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  <c r="AB280" s="38"/>
      <c r="AC280" s="38"/>
      <c r="AD280" s="38"/>
      <c r="AE280" s="38"/>
      <c r="AF280" s="38"/>
      <c r="AG280" s="38"/>
      <c r="AH280" s="38"/>
      <c r="AI280" s="38"/>
      <c r="AJ280" s="38"/>
    </row>
    <row r="281" spans="1:36" ht="15.75" customHeight="1" x14ac:dyDescent="0.2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  <c r="AB281" s="38"/>
      <c r="AC281" s="38"/>
      <c r="AD281" s="38"/>
      <c r="AE281" s="38"/>
      <c r="AF281" s="38"/>
      <c r="AG281" s="38"/>
      <c r="AH281" s="38"/>
      <c r="AI281" s="38"/>
      <c r="AJ281" s="38"/>
    </row>
    <row r="282" spans="1:36" ht="15.75" customHeight="1" x14ac:dyDescent="0.2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  <c r="AA282" s="38"/>
      <c r="AB282" s="38"/>
      <c r="AC282" s="38"/>
      <c r="AD282" s="38"/>
      <c r="AE282" s="38"/>
      <c r="AF282" s="38"/>
      <c r="AG282" s="38"/>
      <c r="AH282" s="38"/>
      <c r="AI282" s="38"/>
      <c r="AJ282" s="38"/>
    </row>
    <row r="283" spans="1:36" ht="15.75" customHeight="1" x14ac:dyDescent="0.2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  <c r="AA283" s="38"/>
      <c r="AB283" s="38"/>
      <c r="AC283" s="38"/>
      <c r="AD283" s="38"/>
      <c r="AE283" s="38"/>
      <c r="AF283" s="38"/>
      <c r="AG283" s="38"/>
      <c r="AH283" s="38"/>
      <c r="AI283" s="38"/>
      <c r="AJ283" s="38"/>
    </row>
    <row r="284" spans="1:36" ht="15.75" customHeight="1" x14ac:dyDescent="0.2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  <c r="AA284" s="38"/>
      <c r="AB284" s="38"/>
      <c r="AC284" s="38"/>
      <c r="AD284" s="38"/>
      <c r="AE284" s="38"/>
      <c r="AF284" s="38"/>
      <c r="AG284" s="38"/>
      <c r="AH284" s="38"/>
      <c r="AI284" s="38"/>
      <c r="AJ284" s="38"/>
    </row>
    <row r="285" spans="1:36" ht="15.75" customHeight="1" x14ac:dyDescent="0.2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  <c r="AA285" s="38"/>
      <c r="AB285" s="38"/>
      <c r="AC285" s="38"/>
      <c r="AD285" s="38"/>
      <c r="AE285" s="38"/>
      <c r="AF285" s="38"/>
      <c r="AG285" s="38"/>
      <c r="AH285" s="38"/>
      <c r="AI285" s="38"/>
      <c r="AJ285" s="38"/>
    </row>
    <row r="286" spans="1:36" ht="15.75" customHeight="1" x14ac:dyDescent="0.2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  <c r="AB286" s="38"/>
      <c r="AC286" s="38"/>
      <c r="AD286" s="38"/>
      <c r="AE286" s="38"/>
      <c r="AF286" s="38"/>
      <c r="AG286" s="38"/>
      <c r="AH286" s="38"/>
      <c r="AI286" s="38"/>
      <c r="AJ286" s="38"/>
    </row>
    <row r="287" spans="1:36" ht="15.75" customHeight="1" x14ac:dyDescent="0.2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  <c r="AA287" s="38"/>
      <c r="AB287" s="38"/>
      <c r="AC287" s="38"/>
      <c r="AD287" s="38"/>
      <c r="AE287" s="38"/>
      <c r="AF287" s="38"/>
      <c r="AG287" s="38"/>
      <c r="AH287" s="38"/>
      <c r="AI287" s="38"/>
      <c r="AJ287" s="38"/>
    </row>
    <row r="288" spans="1:36" ht="15.75" customHeight="1" x14ac:dyDescent="0.2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  <c r="AA288" s="38"/>
      <c r="AB288" s="38"/>
      <c r="AC288" s="38"/>
      <c r="AD288" s="38"/>
      <c r="AE288" s="38"/>
      <c r="AF288" s="38"/>
      <c r="AG288" s="38"/>
      <c r="AH288" s="38"/>
      <c r="AI288" s="38"/>
      <c r="AJ288" s="38"/>
    </row>
    <row r="289" spans="1:36" ht="15.75" customHeight="1" x14ac:dyDescent="0.2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  <c r="AB289" s="38"/>
      <c r="AC289" s="38"/>
      <c r="AD289" s="38"/>
      <c r="AE289" s="38"/>
      <c r="AF289" s="38"/>
      <c r="AG289" s="38"/>
      <c r="AH289" s="38"/>
      <c r="AI289" s="38"/>
      <c r="AJ289" s="38"/>
    </row>
    <row r="290" spans="1:36" ht="15.75" customHeight="1" x14ac:dyDescent="0.2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  <c r="AA290" s="38"/>
      <c r="AB290" s="38"/>
      <c r="AC290" s="38"/>
      <c r="AD290" s="38"/>
      <c r="AE290" s="38"/>
      <c r="AF290" s="38"/>
      <c r="AG290" s="38"/>
      <c r="AH290" s="38"/>
      <c r="AI290" s="38"/>
      <c r="AJ290" s="38"/>
    </row>
    <row r="291" spans="1:36" ht="15.75" customHeight="1" x14ac:dyDescent="0.2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  <c r="AA291" s="38"/>
      <c r="AB291" s="38"/>
      <c r="AC291" s="38"/>
      <c r="AD291" s="38"/>
      <c r="AE291" s="38"/>
      <c r="AF291" s="38"/>
      <c r="AG291" s="38"/>
      <c r="AH291" s="38"/>
      <c r="AI291" s="38"/>
      <c r="AJ291" s="38"/>
    </row>
    <row r="292" spans="1:36" ht="15.75" customHeight="1" x14ac:dyDescent="0.2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  <c r="AA292" s="38"/>
      <c r="AB292" s="38"/>
      <c r="AC292" s="38"/>
      <c r="AD292" s="38"/>
      <c r="AE292" s="38"/>
      <c r="AF292" s="38"/>
      <c r="AG292" s="38"/>
      <c r="AH292" s="38"/>
      <c r="AI292" s="38"/>
      <c r="AJ292" s="38"/>
    </row>
    <row r="293" spans="1:36" ht="15.75" customHeight="1" x14ac:dyDescent="0.2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  <c r="AA293" s="38"/>
      <c r="AB293" s="38"/>
      <c r="AC293" s="38"/>
      <c r="AD293" s="38"/>
      <c r="AE293" s="38"/>
      <c r="AF293" s="38"/>
      <c r="AG293" s="38"/>
      <c r="AH293" s="38"/>
      <c r="AI293" s="38"/>
      <c r="AJ293" s="38"/>
    </row>
    <row r="294" spans="1:36" ht="15.75" customHeight="1" x14ac:dyDescent="0.2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  <c r="AA294" s="38"/>
      <c r="AB294" s="38"/>
      <c r="AC294" s="38"/>
      <c r="AD294" s="38"/>
      <c r="AE294" s="38"/>
      <c r="AF294" s="38"/>
      <c r="AG294" s="38"/>
      <c r="AH294" s="38"/>
      <c r="AI294" s="38"/>
      <c r="AJ294" s="38"/>
    </row>
    <row r="295" spans="1:36" ht="15.75" customHeight="1" x14ac:dyDescent="0.2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  <c r="AA295" s="38"/>
      <c r="AB295" s="38"/>
      <c r="AC295" s="38"/>
      <c r="AD295" s="38"/>
      <c r="AE295" s="38"/>
      <c r="AF295" s="38"/>
      <c r="AG295" s="38"/>
      <c r="AH295" s="38"/>
      <c r="AI295" s="38"/>
      <c r="AJ295" s="38"/>
    </row>
    <row r="296" spans="1:36" ht="15.75" customHeight="1" x14ac:dyDescent="0.2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  <c r="AA296" s="38"/>
      <c r="AB296" s="38"/>
      <c r="AC296" s="38"/>
      <c r="AD296" s="38"/>
      <c r="AE296" s="38"/>
      <c r="AF296" s="38"/>
      <c r="AG296" s="38"/>
      <c r="AH296" s="38"/>
      <c r="AI296" s="38"/>
      <c r="AJ296" s="38"/>
    </row>
    <row r="297" spans="1:36" ht="15.75" customHeight="1" x14ac:dyDescent="0.2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  <c r="AA297" s="38"/>
      <c r="AB297" s="38"/>
      <c r="AC297" s="38"/>
      <c r="AD297" s="38"/>
      <c r="AE297" s="38"/>
      <c r="AF297" s="38"/>
      <c r="AG297" s="38"/>
      <c r="AH297" s="38"/>
      <c r="AI297" s="38"/>
      <c r="AJ297" s="38"/>
    </row>
    <row r="298" spans="1:36" ht="15.75" customHeight="1" x14ac:dyDescent="0.2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  <c r="AA298" s="38"/>
      <c r="AB298" s="38"/>
      <c r="AC298" s="38"/>
      <c r="AD298" s="38"/>
      <c r="AE298" s="38"/>
      <c r="AF298" s="38"/>
      <c r="AG298" s="38"/>
      <c r="AH298" s="38"/>
      <c r="AI298" s="38"/>
      <c r="AJ298" s="38"/>
    </row>
    <row r="299" spans="1:36" ht="15.75" customHeight="1" x14ac:dyDescent="0.2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  <c r="AA299" s="38"/>
      <c r="AB299" s="38"/>
      <c r="AC299" s="38"/>
      <c r="AD299" s="38"/>
      <c r="AE299" s="38"/>
      <c r="AF299" s="38"/>
      <c r="AG299" s="38"/>
      <c r="AH299" s="38"/>
      <c r="AI299" s="38"/>
      <c r="AJ299" s="38"/>
    </row>
    <row r="300" spans="1:36" ht="15.75" customHeight="1" x14ac:dyDescent="0.2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  <c r="AA300" s="38"/>
      <c r="AB300" s="38"/>
      <c r="AC300" s="38"/>
      <c r="AD300" s="38"/>
      <c r="AE300" s="38"/>
      <c r="AF300" s="38"/>
      <c r="AG300" s="38"/>
      <c r="AH300" s="38"/>
      <c r="AI300" s="38"/>
      <c r="AJ300" s="38"/>
    </row>
    <row r="301" spans="1:36" ht="15.75" customHeight="1" x14ac:dyDescent="0.2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  <c r="AA301" s="38"/>
      <c r="AB301" s="38"/>
      <c r="AC301" s="38"/>
      <c r="AD301" s="38"/>
      <c r="AE301" s="38"/>
      <c r="AF301" s="38"/>
      <c r="AG301" s="38"/>
      <c r="AH301" s="38"/>
      <c r="AI301" s="38"/>
      <c r="AJ301" s="38"/>
    </row>
    <row r="302" spans="1:36" ht="15.75" customHeight="1" x14ac:dyDescent="0.2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  <c r="AA302" s="38"/>
      <c r="AB302" s="38"/>
      <c r="AC302" s="38"/>
      <c r="AD302" s="38"/>
      <c r="AE302" s="38"/>
      <c r="AF302" s="38"/>
      <c r="AG302" s="38"/>
      <c r="AH302" s="38"/>
      <c r="AI302" s="38"/>
      <c r="AJ302" s="38"/>
    </row>
    <row r="303" spans="1:36" ht="15.75" customHeight="1" x14ac:dyDescent="0.2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  <c r="AA303" s="38"/>
      <c r="AB303" s="38"/>
      <c r="AC303" s="38"/>
      <c r="AD303" s="38"/>
      <c r="AE303" s="38"/>
      <c r="AF303" s="38"/>
      <c r="AG303" s="38"/>
      <c r="AH303" s="38"/>
      <c r="AI303" s="38"/>
      <c r="AJ303" s="38"/>
    </row>
    <row r="304" spans="1:36" ht="15.75" customHeight="1" x14ac:dyDescent="0.2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  <c r="AA304" s="38"/>
      <c r="AB304" s="38"/>
      <c r="AC304" s="38"/>
      <c r="AD304" s="38"/>
      <c r="AE304" s="38"/>
      <c r="AF304" s="38"/>
      <c r="AG304" s="38"/>
      <c r="AH304" s="38"/>
      <c r="AI304" s="38"/>
      <c r="AJ304" s="38"/>
    </row>
    <row r="305" spans="1:36" ht="15.75" customHeight="1" x14ac:dyDescent="0.2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  <c r="AA305" s="38"/>
      <c r="AB305" s="38"/>
      <c r="AC305" s="38"/>
      <c r="AD305" s="38"/>
      <c r="AE305" s="38"/>
      <c r="AF305" s="38"/>
      <c r="AG305" s="38"/>
      <c r="AH305" s="38"/>
      <c r="AI305" s="38"/>
      <c r="AJ305" s="38"/>
    </row>
    <row r="306" spans="1:36" ht="15.75" customHeight="1" x14ac:dyDescent="0.2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  <c r="AA306" s="38"/>
      <c r="AB306" s="38"/>
      <c r="AC306" s="38"/>
      <c r="AD306" s="38"/>
      <c r="AE306" s="38"/>
      <c r="AF306" s="38"/>
      <c r="AG306" s="38"/>
      <c r="AH306" s="38"/>
      <c r="AI306" s="38"/>
      <c r="AJ306" s="38"/>
    </row>
    <row r="307" spans="1:36" ht="15.75" customHeight="1" x14ac:dyDescent="0.2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  <c r="AA307" s="38"/>
      <c r="AB307" s="38"/>
      <c r="AC307" s="38"/>
      <c r="AD307" s="38"/>
      <c r="AE307" s="38"/>
      <c r="AF307" s="38"/>
      <c r="AG307" s="38"/>
      <c r="AH307" s="38"/>
      <c r="AI307" s="38"/>
      <c r="AJ307" s="38"/>
    </row>
    <row r="308" spans="1:36" ht="15.75" customHeight="1" x14ac:dyDescent="0.2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  <c r="AA308" s="38"/>
      <c r="AB308" s="38"/>
      <c r="AC308" s="38"/>
      <c r="AD308" s="38"/>
      <c r="AE308" s="38"/>
      <c r="AF308" s="38"/>
      <c r="AG308" s="38"/>
      <c r="AH308" s="38"/>
      <c r="AI308" s="38"/>
      <c r="AJ308" s="38"/>
    </row>
    <row r="309" spans="1:36" ht="15.75" customHeight="1" x14ac:dyDescent="0.2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  <c r="AA309" s="38"/>
      <c r="AB309" s="38"/>
      <c r="AC309" s="38"/>
      <c r="AD309" s="38"/>
      <c r="AE309" s="38"/>
      <c r="AF309" s="38"/>
      <c r="AG309" s="38"/>
      <c r="AH309" s="38"/>
      <c r="AI309" s="38"/>
      <c r="AJ309" s="38"/>
    </row>
    <row r="310" spans="1:36" ht="15.75" customHeight="1" x14ac:dyDescent="0.2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  <c r="AA310" s="38"/>
      <c r="AB310" s="38"/>
      <c r="AC310" s="38"/>
      <c r="AD310" s="38"/>
      <c r="AE310" s="38"/>
      <c r="AF310" s="38"/>
      <c r="AG310" s="38"/>
      <c r="AH310" s="38"/>
      <c r="AI310" s="38"/>
      <c r="AJ310" s="38"/>
    </row>
    <row r="311" spans="1:36" ht="15.75" customHeight="1" x14ac:dyDescent="0.2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  <c r="AA311" s="38"/>
      <c r="AB311" s="38"/>
      <c r="AC311" s="38"/>
      <c r="AD311" s="38"/>
      <c r="AE311" s="38"/>
      <c r="AF311" s="38"/>
      <c r="AG311" s="38"/>
      <c r="AH311" s="38"/>
      <c r="AI311" s="38"/>
      <c r="AJ311" s="38"/>
    </row>
    <row r="312" spans="1:36" ht="15.75" customHeight="1" x14ac:dyDescent="0.2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  <c r="AA312" s="38"/>
      <c r="AB312" s="38"/>
      <c r="AC312" s="38"/>
      <c r="AD312" s="38"/>
      <c r="AE312" s="38"/>
      <c r="AF312" s="38"/>
      <c r="AG312" s="38"/>
      <c r="AH312" s="38"/>
      <c r="AI312" s="38"/>
      <c r="AJ312" s="38"/>
    </row>
    <row r="313" spans="1:36" ht="15.75" customHeight="1" x14ac:dyDescent="0.2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  <c r="AA313" s="38"/>
      <c r="AB313" s="38"/>
      <c r="AC313" s="38"/>
      <c r="AD313" s="38"/>
      <c r="AE313" s="38"/>
      <c r="AF313" s="38"/>
      <c r="AG313" s="38"/>
      <c r="AH313" s="38"/>
      <c r="AI313" s="38"/>
      <c r="AJ313" s="38"/>
    </row>
    <row r="314" spans="1:36" ht="15.75" customHeight="1" x14ac:dyDescent="0.2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  <c r="AA314" s="38"/>
      <c r="AB314" s="38"/>
      <c r="AC314" s="38"/>
      <c r="AD314" s="38"/>
      <c r="AE314" s="38"/>
      <c r="AF314" s="38"/>
      <c r="AG314" s="38"/>
      <c r="AH314" s="38"/>
      <c r="AI314" s="38"/>
      <c r="AJ314" s="38"/>
    </row>
    <row r="315" spans="1:36" ht="15.75" customHeight="1" x14ac:dyDescent="0.2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  <c r="AA315" s="38"/>
      <c r="AB315" s="38"/>
      <c r="AC315" s="38"/>
      <c r="AD315" s="38"/>
      <c r="AE315" s="38"/>
      <c r="AF315" s="38"/>
      <c r="AG315" s="38"/>
      <c r="AH315" s="38"/>
      <c r="AI315" s="38"/>
      <c r="AJ315" s="38"/>
    </row>
    <row r="316" spans="1:36" ht="15.75" customHeight="1" x14ac:dyDescent="0.2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  <c r="AA316" s="38"/>
      <c r="AB316" s="38"/>
      <c r="AC316" s="38"/>
      <c r="AD316" s="38"/>
      <c r="AE316" s="38"/>
      <c r="AF316" s="38"/>
      <c r="AG316" s="38"/>
      <c r="AH316" s="38"/>
      <c r="AI316" s="38"/>
      <c r="AJ316" s="38"/>
    </row>
    <row r="317" spans="1:36" ht="15.75" customHeight="1" x14ac:dyDescent="0.2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  <c r="AA317" s="38"/>
      <c r="AB317" s="38"/>
      <c r="AC317" s="38"/>
      <c r="AD317" s="38"/>
      <c r="AE317" s="38"/>
      <c r="AF317" s="38"/>
      <c r="AG317" s="38"/>
      <c r="AH317" s="38"/>
      <c r="AI317" s="38"/>
      <c r="AJ317" s="38"/>
    </row>
    <row r="318" spans="1:36" ht="15.75" customHeight="1" x14ac:dyDescent="0.2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  <c r="AA318" s="38"/>
      <c r="AB318" s="38"/>
      <c r="AC318" s="38"/>
      <c r="AD318" s="38"/>
      <c r="AE318" s="38"/>
      <c r="AF318" s="38"/>
      <c r="AG318" s="38"/>
      <c r="AH318" s="38"/>
      <c r="AI318" s="38"/>
      <c r="AJ318" s="38"/>
    </row>
    <row r="319" spans="1:36" ht="15.75" customHeight="1" x14ac:dyDescent="0.2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  <c r="AA319" s="38"/>
      <c r="AB319" s="38"/>
      <c r="AC319" s="38"/>
      <c r="AD319" s="38"/>
      <c r="AE319" s="38"/>
      <c r="AF319" s="38"/>
      <c r="AG319" s="38"/>
      <c r="AH319" s="38"/>
      <c r="AI319" s="38"/>
      <c r="AJ319" s="38"/>
    </row>
    <row r="320" spans="1:36" ht="15.75" customHeight="1" x14ac:dyDescent="0.2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  <c r="AA320" s="38"/>
      <c r="AB320" s="38"/>
      <c r="AC320" s="38"/>
      <c r="AD320" s="38"/>
      <c r="AE320" s="38"/>
      <c r="AF320" s="38"/>
      <c r="AG320" s="38"/>
      <c r="AH320" s="38"/>
      <c r="AI320" s="38"/>
      <c r="AJ320" s="38"/>
    </row>
    <row r="321" spans="1:36" ht="15.75" customHeight="1" x14ac:dyDescent="0.2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  <c r="AA321" s="38"/>
      <c r="AB321" s="38"/>
      <c r="AC321" s="38"/>
      <c r="AD321" s="38"/>
      <c r="AE321" s="38"/>
      <c r="AF321" s="38"/>
      <c r="AG321" s="38"/>
      <c r="AH321" s="38"/>
      <c r="AI321" s="38"/>
      <c r="AJ321" s="38"/>
    </row>
    <row r="322" spans="1:36" ht="15.75" customHeight="1" x14ac:dyDescent="0.2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  <c r="AA322" s="38"/>
      <c r="AB322" s="38"/>
      <c r="AC322" s="38"/>
      <c r="AD322" s="38"/>
      <c r="AE322" s="38"/>
      <c r="AF322" s="38"/>
      <c r="AG322" s="38"/>
      <c r="AH322" s="38"/>
      <c r="AI322" s="38"/>
      <c r="AJ322" s="38"/>
    </row>
    <row r="323" spans="1:36" ht="15.75" customHeight="1" x14ac:dyDescent="0.2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  <c r="AA323" s="38"/>
      <c r="AB323" s="38"/>
      <c r="AC323" s="38"/>
      <c r="AD323" s="38"/>
      <c r="AE323" s="38"/>
      <c r="AF323" s="38"/>
      <c r="AG323" s="38"/>
      <c r="AH323" s="38"/>
      <c r="AI323" s="38"/>
      <c r="AJ323" s="38"/>
    </row>
    <row r="324" spans="1:36" ht="15.75" customHeight="1" x14ac:dyDescent="0.2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  <c r="AA324" s="38"/>
      <c r="AB324" s="38"/>
      <c r="AC324" s="38"/>
      <c r="AD324" s="38"/>
      <c r="AE324" s="38"/>
      <c r="AF324" s="38"/>
      <c r="AG324" s="38"/>
      <c r="AH324" s="38"/>
      <c r="AI324" s="38"/>
      <c r="AJ324" s="38"/>
    </row>
    <row r="325" spans="1:36" ht="15.75" customHeight="1" x14ac:dyDescent="0.2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  <c r="AA325" s="38"/>
      <c r="AB325" s="38"/>
      <c r="AC325" s="38"/>
      <c r="AD325" s="38"/>
      <c r="AE325" s="38"/>
      <c r="AF325" s="38"/>
      <c r="AG325" s="38"/>
      <c r="AH325" s="38"/>
      <c r="AI325" s="38"/>
      <c r="AJ325" s="38"/>
    </row>
    <row r="326" spans="1:36" ht="15.75" customHeight="1" x14ac:dyDescent="0.2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  <c r="AA326" s="38"/>
      <c r="AB326" s="38"/>
      <c r="AC326" s="38"/>
      <c r="AD326" s="38"/>
      <c r="AE326" s="38"/>
      <c r="AF326" s="38"/>
      <c r="AG326" s="38"/>
      <c r="AH326" s="38"/>
      <c r="AI326" s="38"/>
      <c r="AJ326" s="38"/>
    </row>
    <row r="327" spans="1:36" ht="15.75" customHeight="1" x14ac:dyDescent="0.2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  <c r="AA327" s="38"/>
      <c r="AB327" s="38"/>
      <c r="AC327" s="38"/>
      <c r="AD327" s="38"/>
      <c r="AE327" s="38"/>
      <c r="AF327" s="38"/>
      <c r="AG327" s="38"/>
      <c r="AH327" s="38"/>
      <c r="AI327" s="38"/>
      <c r="AJ327" s="38"/>
    </row>
    <row r="328" spans="1:36" ht="15.75" customHeight="1" x14ac:dyDescent="0.2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  <c r="AA328" s="38"/>
      <c r="AB328" s="38"/>
      <c r="AC328" s="38"/>
      <c r="AD328" s="38"/>
      <c r="AE328" s="38"/>
      <c r="AF328" s="38"/>
      <c r="AG328" s="38"/>
      <c r="AH328" s="38"/>
      <c r="AI328" s="38"/>
      <c r="AJ328" s="38"/>
    </row>
    <row r="329" spans="1:36" ht="15.75" customHeight="1" x14ac:dyDescent="0.2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  <c r="AA329" s="38"/>
      <c r="AB329" s="38"/>
      <c r="AC329" s="38"/>
      <c r="AD329" s="38"/>
      <c r="AE329" s="38"/>
      <c r="AF329" s="38"/>
      <c r="AG329" s="38"/>
      <c r="AH329" s="38"/>
      <c r="AI329" s="38"/>
      <c r="AJ329" s="38"/>
    </row>
    <row r="330" spans="1:36" ht="15.75" customHeight="1" x14ac:dyDescent="0.2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  <c r="AA330" s="38"/>
      <c r="AB330" s="38"/>
      <c r="AC330" s="38"/>
      <c r="AD330" s="38"/>
      <c r="AE330" s="38"/>
      <c r="AF330" s="38"/>
      <c r="AG330" s="38"/>
      <c r="AH330" s="38"/>
      <c r="AI330" s="38"/>
      <c r="AJ330" s="38"/>
    </row>
    <row r="331" spans="1:36" ht="15.75" customHeight="1" x14ac:dyDescent="0.2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  <c r="AA331" s="38"/>
      <c r="AB331" s="38"/>
      <c r="AC331" s="38"/>
      <c r="AD331" s="38"/>
      <c r="AE331" s="38"/>
      <c r="AF331" s="38"/>
      <c r="AG331" s="38"/>
      <c r="AH331" s="38"/>
      <c r="AI331" s="38"/>
      <c r="AJ331" s="38"/>
    </row>
    <row r="332" spans="1:36" ht="15.75" customHeight="1" x14ac:dyDescent="0.2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  <c r="AA332" s="38"/>
      <c r="AB332" s="38"/>
      <c r="AC332" s="38"/>
      <c r="AD332" s="38"/>
      <c r="AE332" s="38"/>
      <c r="AF332" s="38"/>
      <c r="AG332" s="38"/>
      <c r="AH332" s="38"/>
      <c r="AI332" s="38"/>
      <c r="AJ332" s="38"/>
    </row>
    <row r="333" spans="1:36" ht="15.75" customHeight="1" x14ac:dyDescent="0.2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  <c r="AA333" s="38"/>
      <c r="AB333" s="38"/>
      <c r="AC333" s="38"/>
      <c r="AD333" s="38"/>
      <c r="AE333" s="38"/>
      <c r="AF333" s="38"/>
      <c r="AG333" s="38"/>
      <c r="AH333" s="38"/>
      <c r="AI333" s="38"/>
      <c r="AJ333" s="38"/>
    </row>
    <row r="334" spans="1:36" ht="15.75" customHeight="1" x14ac:dyDescent="0.2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  <c r="AA334" s="38"/>
      <c r="AB334" s="38"/>
      <c r="AC334" s="38"/>
      <c r="AD334" s="38"/>
      <c r="AE334" s="38"/>
      <c r="AF334" s="38"/>
      <c r="AG334" s="38"/>
      <c r="AH334" s="38"/>
      <c r="AI334" s="38"/>
      <c r="AJ334" s="38"/>
    </row>
    <row r="335" spans="1:36" ht="15.75" customHeight="1" x14ac:dyDescent="0.2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  <c r="AA335" s="38"/>
      <c r="AB335" s="38"/>
      <c r="AC335" s="38"/>
      <c r="AD335" s="38"/>
      <c r="AE335" s="38"/>
      <c r="AF335" s="38"/>
      <c r="AG335" s="38"/>
      <c r="AH335" s="38"/>
      <c r="AI335" s="38"/>
      <c r="AJ335" s="38"/>
    </row>
    <row r="336" spans="1:36" ht="15.75" customHeight="1" x14ac:dyDescent="0.2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  <c r="AA336" s="38"/>
      <c r="AB336" s="38"/>
      <c r="AC336" s="38"/>
      <c r="AD336" s="38"/>
      <c r="AE336" s="38"/>
      <c r="AF336" s="38"/>
      <c r="AG336" s="38"/>
      <c r="AH336" s="38"/>
      <c r="AI336" s="38"/>
      <c r="AJ336" s="38"/>
    </row>
    <row r="337" spans="1:36" ht="15.75" customHeight="1" x14ac:dyDescent="0.2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  <c r="AA337" s="38"/>
      <c r="AB337" s="38"/>
      <c r="AC337" s="38"/>
      <c r="AD337" s="38"/>
      <c r="AE337" s="38"/>
      <c r="AF337" s="38"/>
      <c r="AG337" s="38"/>
      <c r="AH337" s="38"/>
      <c r="AI337" s="38"/>
      <c r="AJ337" s="38"/>
    </row>
    <row r="338" spans="1:36" ht="15.75" customHeight="1" x14ac:dyDescent="0.2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  <c r="AA338" s="38"/>
      <c r="AB338" s="38"/>
      <c r="AC338" s="38"/>
      <c r="AD338" s="38"/>
      <c r="AE338" s="38"/>
      <c r="AF338" s="38"/>
      <c r="AG338" s="38"/>
      <c r="AH338" s="38"/>
      <c r="AI338" s="38"/>
      <c r="AJ338" s="38"/>
    </row>
    <row r="339" spans="1:36" ht="15.75" customHeight="1" x14ac:dyDescent="0.2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  <c r="AA339" s="38"/>
      <c r="AB339" s="38"/>
      <c r="AC339" s="38"/>
      <c r="AD339" s="38"/>
      <c r="AE339" s="38"/>
      <c r="AF339" s="38"/>
      <c r="AG339" s="38"/>
      <c r="AH339" s="38"/>
      <c r="AI339" s="38"/>
      <c r="AJ339" s="38"/>
    </row>
    <row r="340" spans="1:36" ht="15.75" customHeight="1" x14ac:dyDescent="0.2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  <c r="AA340" s="38"/>
      <c r="AB340" s="38"/>
      <c r="AC340" s="38"/>
      <c r="AD340" s="38"/>
      <c r="AE340" s="38"/>
      <c r="AF340" s="38"/>
      <c r="AG340" s="38"/>
      <c r="AH340" s="38"/>
      <c r="AI340" s="38"/>
      <c r="AJ340" s="38"/>
    </row>
    <row r="341" spans="1:36" ht="15.75" customHeight="1" x14ac:dyDescent="0.2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  <c r="AA341" s="38"/>
      <c r="AB341" s="38"/>
      <c r="AC341" s="38"/>
      <c r="AD341" s="38"/>
      <c r="AE341" s="38"/>
      <c r="AF341" s="38"/>
      <c r="AG341" s="38"/>
      <c r="AH341" s="38"/>
      <c r="AI341" s="38"/>
      <c r="AJ341" s="38"/>
    </row>
    <row r="342" spans="1:36" ht="15.75" customHeight="1" x14ac:dyDescent="0.2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  <c r="AA342" s="38"/>
      <c r="AB342" s="38"/>
      <c r="AC342" s="38"/>
      <c r="AD342" s="38"/>
      <c r="AE342" s="38"/>
      <c r="AF342" s="38"/>
      <c r="AG342" s="38"/>
      <c r="AH342" s="38"/>
      <c r="AI342" s="38"/>
      <c r="AJ342" s="38"/>
    </row>
    <row r="343" spans="1:36" ht="15.75" customHeight="1" x14ac:dyDescent="0.2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  <c r="AA343" s="38"/>
      <c r="AB343" s="38"/>
      <c r="AC343" s="38"/>
      <c r="AD343" s="38"/>
      <c r="AE343" s="38"/>
      <c r="AF343" s="38"/>
      <c r="AG343" s="38"/>
      <c r="AH343" s="38"/>
      <c r="AI343" s="38"/>
      <c r="AJ343" s="38"/>
    </row>
    <row r="344" spans="1:36" ht="15.75" customHeight="1" x14ac:dyDescent="0.2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  <c r="AA344" s="38"/>
      <c r="AB344" s="38"/>
      <c r="AC344" s="38"/>
      <c r="AD344" s="38"/>
      <c r="AE344" s="38"/>
      <c r="AF344" s="38"/>
      <c r="AG344" s="38"/>
      <c r="AH344" s="38"/>
      <c r="AI344" s="38"/>
      <c r="AJ344" s="38"/>
    </row>
    <row r="345" spans="1:36" ht="15.75" customHeight="1" x14ac:dyDescent="0.2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  <c r="AA345" s="38"/>
      <c r="AB345" s="38"/>
      <c r="AC345" s="38"/>
      <c r="AD345" s="38"/>
      <c r="AE345" s="38"/>
      <c r="AF345" s="38"/>
      <c r="AG345" s="38"/>
      <c r="AH345" s="38"/>
      <c r="AI345" s="38"/>
      <c r="AJ345" s="38"/>
    </row>
    <row r="346" spans="1:36" ht="15.75" customHeight="1" x14ac:dyDescent="0.2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  <c r="AA346" s="38"/>
      <c r="AB346" s="38"/>
      <c r="AC346" s="38"/>
      <c r="AD346" s="38"/>
      <c r="AE346" s="38"/>
      <c r="AF346" s="38"/>
      <c r="AG346" s="38"/>
      <c r="AH346" s="38"/>
      <c r="AI346" s="38"/>
      <c r="AJ346" s="38"/>
    </row>
    <row r="347" spans="1:36" ht="15.75" customHeight="1" x14ac:dyDescent="0.2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  <c r="AA347" s="38"/>
      <c r="AB347" s="38"/>
      <c r="AC347" s="38"/>
      <c r="AD347" s="38"/>
      <c r="AE347" s="38"/>
      <c r="AF347" s="38"/>
      <c r="AG347" s="38"/>
      <c r="AH347" s="38"/>
      <c r="AI347" s="38"/>
      <c r="AJ347" s="38"/>
    </row>
    <row r="348" spans="1:36" ht="15.75" customHeight="1" x14ac:dyDescent="0.2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  <c r="AA348" s="38"/>
      <c r="AB348" s="38"/>
      <c r="AC348" s="38"/>
      <c r="AD348" s="38"/>
      <c r="AE348" s="38"/>
      <c r="AF348" s="38"/>
      <c r="AG348" s="38"/>
      <c r="AH348" s="38"/>
      <c r="AI348" s="38"/>
      <c r="AJ348" s="38"/>
    </row>
    <row r="349" spans="1:36" ht="15.75" customHeight="1" x14ac:dyDescent="0.2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  <c r="AA349" s="38"/>
      <c r="AB349" s="38"/>
      <c r="AC349" s="38"/>
      <c r="AD349" s="38"/>
      <c r="AE349" s="38"/>
      <c r="AF349" s="38"/>
      <c r="AG349" s="38"/>
      <c r="AH349" s="38"/>
      <c r="AI349" s="38"/>
      <c r="AJ349" s="38"/>
    </row>
    <row r="350" spans="1:36" ht="15.75" customHeight="1" x14ac:dyDescent="0.2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  <c r="AA350" s="38"/>
      <c r="AB350" s="38"/>
      <c r="AC350" s="38"/>
      <c r="AD350" s="38"/>
      <c r="AE350" s="38"/>
      <c r="AF350" s="38"/>
      <c r="AG350" s="38"/>
      <c r="AH350" s="38"/>
      <c r="AI350" s="38"/>
      <c r="AJ350" s="38"/>
    </row>
    <row r="351" spans="1:36" ht="15.75" customHeight="1" x14ac:dyDescent="0.2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  <c r="AA351" s="38"/>
      <c r="AB351" s="38"/>
      <c r="AC351" s="38"/>
      <c r="AD351" s="38"/>
      <c r="AE351" s="38"/>
      <c r="AF351" s="38"/>
      <c r="AG351" s="38"/>
      <c r="AH351" s="38"/>
      <c r="AI351" s="38"/>
      <c r="AJ351" s="38"/>
    </row>
    <row r="352" spans="1:36" ht="15.75" customHeight="1" x14ac:dyDescent="0.2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  <c r="AA352" s="38"/>
      <c r="AB352" s="38"/>
      <c r="AC352" s="38"/>
      <c r="AD352" s="38"/>
      <c r="AE352" s="38"/>
      <c r="AF352" s="38"/>
      <c r="AG352" s="38"/>
      <c r="AH352" s="38"/>
      <c r="AI352" s="38"/>
      <c r="AJ352" s="38"/>
    </row>
    <row r="353" spans="1:36" ht="15.75" customHeight="1" x14ac:dyDescent="0.2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  <c r="AA353" s="38"/>
      <c r="AB353" s="38"/>
      <c r="AC353" s="38"/>
      <c r="AD353" s="38"/>
      <c r="AE353" s="38"/>
      <c r="AF353" s="38"/>
      <c r="AG353" s="38"/>
      <c r="AH353" s="38"/>
      <c r="AI353" s="38"/>
      <c r="AJ353" s="38"/>
    </row>
    <row r="354" spans="1:36" ht="15.75" customHeight="1" x14ac:dyDescent="0.2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  <c r="AA354" s="38"/>
      <c r="AB354" s="38"/>
      <c r="AC354" s="38"/>
      <c r="AD354" s="38"/>
      <c r="AE354" s="38"/>
      <c r="AF354" s="38"/>
      <c r="AG354" s="38"/>
      <c r="AH354" s="38"/>
      <c r="AI354" s="38"/>
      <c r="AJ354" s="38"/>
    </row>
    <row r="355" spans="1:36" ht="15.75" customHeight="1" x14ac:dyDescent="0.2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  <c r="AA355" s="38"/>
      <c r="AB355" s="38"/>
      <c r="AC355" s="38"/>
      <c r="AD355" s="38"/>
      <c r="AE355" s="38"/>
      <c r="AF355" s="38"/>
      <c r="AG355" s="38"/>
      <c r="AH355" s="38"/>
      <c r="AI355" s="38"/>
      <c r="AJ355" s="38"/>
    </row>
    <row r="356" spans="1:36" ht="15.75" customHeight="1" x14ac:dyDescent="0.2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  <c r="AA356" s="38"/>
      <c r="AB356" s="38"/>
      <c r="AC356" s="38"/>
      <c r="AD356" s="38"/>
      <c r="AE356" s="38"/>
      <c r="AF356" s="38"/>
      <c r="AG356" s="38"/>
      <c r="AH356" s="38"/>
      <c r="AI356" s="38"/>
      <c r="AJ356" s="38"/>
    </row>
    <row r="357" spans="1:36" ht="15.75" customHeight="1" x14ac:dyDescent="0.2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  <c r="AA357" s="38"/>
      <c r="AB357" s="38"/>
      <c r="AC357" s="38"/>
      <c r="AD357" s="38"/>
      <c r="AE357" s="38"/>
      <c r="AF357" s="38"/>
      <c r="AG357" s="38"/>
      <c r="AH357" s="38"/>
      <c r="AI357" s="38"/>
      <c r="AJ357" s="38"/>
    </row>
    <row r="358" spans="1:36" ht="15.75" customHeight="1" x14ac:dyDescent="0.2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  <c r="AA358" s="38"/>
      <c r="AB358" s="38"/>
      <c r="AC358" s="38"/>
      <c r="AD358" s="38"/>
      <c r="AE358" s="38"/>
      <c r="AF358" s="38"/>
      <c r="AG358" s="38"/>
      <c r="AH358" s="38"/>
      <c r="AI358" s="38"/>
      <c r="AJ358" s="38"/>
    </row>
    <row r="359" spans="1:36" ht="15.75" customHeight="1" x14ac:dyDescent="0.2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  <c r="AA359" s="38"/>
      <c r="AB359" s="38"/>
      <c r="AC359" s="38"/>
      <c r="AD359" s="38"/>
      <c r="AE359" s="38"/>
      <c r="AF359" s="38"/>
      <c r="AG359" s="38"/>
      <c r="AH359" s="38"/>
      <c r="AI359" s="38"/>
      <c r="AJ359" s="38"/>
    </row>
    <row r="360" spans="1:36" ht="15.75" customHeight="1" x14ac:dyDescent="0.2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  <c r="AA360" s="38"/>
      <c r="AB360" s="38"/>
      <c r="AC360" s="38"/>
      <c r="AD360" s="38"/>
      <c r="AE360" s="38"/>
      <c r="AF360" s="38"/>
      <c r="AG360" s="38"/>
      <c r="AH360" s="38"/>
      <c r="AI360" s="38"/>
      <c r="AJ360" s="38"/>
    </row>
    <row r="361" spans="1:36" ht="15.75" customHeight="1" x14ac:dyDescent="0.2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  <c r="AA361" s="38"/>
      <c r="AB361" s="38"/>
      <c r="AC361" s="38"/>
      <c r="AD361" s="38"/>
      <c r="AE361" s="38"/>
      <c r="AF361" s="38"/>
      <c r="AG361" s="38"/>
      <c r="AH361" s="38"/>
      <c r="AI361" s="38"/>
      <c r="AJ361" s="38"/>
    </row>
    <row r="362" spans="1:36" ht="15.75" customHeight="1" x14ac:dyDescent="0.2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  <c r="AA362" s="38"/>
      <c r="AB362" s="38"/>
      <c r="AC362" s="38"/>
      <c r="AD362" s="38"/>
      <c r="AE362" s="38"/>
      <c r="AF362" s="38"/>
      <c r="AG362" s="38"/>
      <c r="AH362" s="38"/>
      <c r="AI362" s="38"/>
      <c r="AJ362" s="38"/>
    </row>
    <row r="363" spans="1:36" ht="15.75" customHeight="1" x14ac:dyDescent="0.2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  <c r="AA363" s="38"/>
      <c r="AB363" s="38"/>
      <c r="AC363" s="38"/>
      <c r="AD363" s="38"/>
      <c r="AE363" s="38"/>
      <c r="AF363" s="38"/>
      <c r="AG363" s="38"/>
      <c r="AH363" s="38"/>
      <c r="AI363" s="38"/>
      <c r="AJ363" s="38"/>
    </row>
    <row r="364" spans="1:36" ht="15.75" customHeight="1" x14ac:dyDescent="0.2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  <c r="AA364" s="38"/>
      <c r="AB364" s="38"/>
      <c r="AC364" s="38"/>
      <c r="AD364" s="38"/>
      <c r="AE364" s="38"/>
      <c r="AF364" s="38"/>
      <c r="AG364" s="38"/>
      <c r="AH364" s="38"/>
      <c r="AI364" s="38"/>
      <c r="AJ364" s="38"/>
    </row>
    <row r="365" spans="1:36" ht="15.75" customHeight="1" x14ac:dyDescent="0.2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  <c r="AA365" s="38"/>
      <c r="AB365" s="38"/>
      <c r="AC365" s="38"/>
      <c r="AD365" s="38"/>
      <c r="AE365" s="38"/>
      <c r="AF365" s="38"/>
      <c r="AG365" s="38"/>
      <c r="AH365" s="38"/>
      <c r="AI365" s="38"/>
      <c r="AJ365" s="38"/>
    </row>
    <row r="366" spans="1:36" ht="15.75" customHeight="1" x14ac:dyDescent="0.2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  <c r="AA366" s="38"/>
      <c r="AB366" s="38"/>
      <c r="AC366" s="38"/>
      <c r="AD366" s="38"/>
      <c r="AE366" s="38"/>
      <c r="AF366" s="38"/>
      <c r="AG366" s="38"/>
      <c r="AH366" s="38"/>
      <c r="AI366" s="38"/>
      <c r="AJ366" s="38"/>
    </row>
    <row r="367" spans="1:36" ht="15.75" customHeight="1" x14ac:dyDescent="0.2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  <c r="AA367" s="38"/>
      <c r="AB367" s="38"/>
      <c r="AC367" s="38"/>
      <c r="AD367" s="38"/>
      <c r="AE367" s="38"/>
      <c r="AF367" s="38"/>
      <c r="AG367" s="38"/>
      <c r="AH367" s="38"/>
      <c r="AI367" s="38"/>
      <c r="AJ367" s="38"/>
    </row>
    <row r="368" spans="1:36" ht="15.75" customHeight="1" x14ac:dyDescent="0.2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  <c r="AA368" s="38"/>
      <c r="AB368" s="38"/>
      <c r="AC368" s="38"/>
      <c r="AD368" s="38"/>
      <c r="AE368" s="38"/>
      <c r="AF368" s="38"/>
      <c r="AG368" s="38"/>
      <c r="AH368" s="38"/>
      <c r="AI368" s="38"/>
      <c r="AJ368" s="38"/>
    </row>
    <row r="369" spans="1:36" ht="15.75" customHeight="1" x14ac:dyDescent="0.2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  <c r="AA369" s="38"/>
      <c r="AB369" s="38"/>
      <c r="AC369" s="38"/>
      <c r="AD369" s="38"/>
      <c r="AE369" s="38"/>
      <c r="AF369" s="38"/>
      <c r="AG369" s="38"/>
      <c r="AH369" s="38"/>
      <c r="AI369" s="38"/>
      <c r="AJ369" s="38"/>
    </row>
    <row r="370" spans="1:36" ht="15.75" customHeight="1" x14ac:dyDescent="0.2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  <c r="AA370" s="38"/>
      <c r="AB370" s="38"/>
      <c r="AC370" s="38"/>
      <c r="AD370" s="38"/>
      <c r="AE370" s="38"/>
      <c r="AF370" s="38"/>
      <c r="AG370" s="38"/>
      <c r="AH370" s="38"/>
      <c r="AI370" s="38"/>
      <c r="AJ370" s="38"/>
    </row>
    <row r="371" spans="1:36" ht="15.75" customHeight="1" x14ac:dyDescent="0.2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  <c r="AA371" s="38"/>
      <c r="AB371" s="38"/>
      <c r="AC371" s="38"/>
      <c r="AD371" s="38"/>
      <c r="AE371" s="38"/>
      <c r="AF371" s="38"/>
      <c r="AG371" s="38"/>
      <c r="AH371" s="38"/>
      <c r="AI371" s="38"/>
      <c r="AJ371" s="38"/>
    </row>
    <row r="372" spans="1:36" ht="15.75" customHeight="1" x14ac:dyDescent="0.2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  <c r="AA372" s="38"/>
      <c r="AB372" s="38"/>
      <c r="AC372" s="38"/>
      <c r="AD372" s="38"/>
      <c r="AE372" s="38"/>
      <c r="AF372" s="38"/>
      <c r="AG372" s="38"/>
      <c r="AH372" s="38"/>
      <c r="AI372" s="38"/>
      <c r="AJ372" s="38"/>
    </row>
    <row r="373" spans="1:36" ht="15.75" customHeight="1" x14ac:dyDescent="0.2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  <c r="AA373" s="38"/>
      <c r="AB373" s="38"/>
      <c r="AC373" s="38"/>
      <c r="AD373" s="38"/>
      <c r="AE373" s="38"/>
      <c r="AF373" s="38"/>
      <c r="AG373" s="38"/>
      <c r="AH373" s="38"/>
      <c r="AI373" s="38"/>
      <c r="AJ373" s="38"/>
    </row>
    <row r="374" spans="1:36" ht="15.75" customHeight="1" x14ac:dyDescent="0.2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  <c r="AA374" s="38"/>
      <c r="AB374" s="38"/>
      <c r="AC374" s="38"/>
      <c r="AD374" s="38"/>
      <c r="AE374" s="38"/>
      <c r="AF374" s="38"/>
      <c r="AG374" s="38"/>
      <c r="AH374" s="38"/>
      <c r="AI374" s="38"/>
      <c r="AJ374" s="38"/>
    </row>
    <row r="375" spans="1:36" ht="15.75" customHeight="1" x14ac:dyDescent="0.2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  <c r="AA375" s="38"/>
      <c r="AB375" s="38"/>
      <c r="AC375" s="38"/>
      <c r="AD375" s="38"/>
      <c r="AE375" s="38"/>
      <c r="AF375" s="38"/>
      <c r="AG375" s="38"/>
      <c r="AH375" s="38"/>
      <c r="AI375" s="38"/>
      <c r="AJ375" s="38"/>
    </row>
    <row r="376" spans="1:36" ht="15.75" customHeight="1" x14ac:dyDescent="0.2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  <c r="AA376" s="38"/>
      <c r="AB376" s="38"/>
      <c r="AC376" s="38"/>
      <c r="AD376" s="38"/>
      <c r="AE376" s="38"/>
      <c r="AF376" s="38"/>
      <c r="AG376" s="38"/>
      <c r="AH376" s="38"/>
      <c r="AI376" s="38"/>
      <c r="AJ376" s="38"/>
    </row>
    <row r="377" spans="1:36" ht="15.75" customHeight="1" x14ac:dyDescent="0.2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  <c r="AA377" s="38"/>
      <c r="AB377" s="38"/>
      <c r="AC377" s="38"/>
      <c r="AD377" s="38"/>
      <c r="AE377" s="38"/>
      <c r="AF377" s="38"/>
      <c r="AG377" s="38"/>
      <c r="AH377" s="38"/>
      <c r="AI377" s="38"/>
      <c r="AJ377" s="38"/>
    </row>
    <row r="378" spans="1:36" ht="15.75" customHeight="1" x14ac:dyDescent="0.2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  <c r="AA378" s="38"/>
      <c r="AB378" s="38"/>
      <c r="AC378" s="38"/>
      <c r="AD378" s="38"/>
      <c r="AE378" s="38"/>
      <c r="AF378" s="38"/>
      <c r="AG378" s="38"/>
      <c r="AH378" s="38"/>
      <c r="AI378" s="38"/>
      <c r="AJ378" s="38"/>
    </row>
    <row r="379" spans="1:36" ht="15.75" customHeight="1" x14ac:dyDescent="0.2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  <c r="AA379" s="38"/>
      <c r="AB379" s="38"/>
      <c r="AC379" s="38"/>
      <c r="AD379" s="38"/>
      <c r="AE379" s="38"/>
      <c r="AF379" s="38"/>
      <c r="AG379" s="38"/>
      <c r="AH379" s="38"/>
      <c r="AI379" s="38"/>
      <c r="AJ379" s="38"/>
    </row>
    <row r="380" spans="1:36" ht="15.75" customHeight="1" x14ac:dyDescent="0.2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  <c r="AA380" s="38"/>
      <c r="AB380" s="38"/>
      <c r="AC380" s="38"/>
      <c r="AD380" s="38"/>
      <c r="AE380" s="38"/>
      <c r="AF380" s="38"/>
      <c r="AG380" s="38"/>
      <c r="AH380" s="38"/>
      <c r="AI380" s="38"/>
      <c r="AJ380" s="38"/>
    </row>
    <row r="381" spans="1:36" ht="15.75" customHeight="1" x14ac:dyDescent="0.2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  <c r="AA381" s="38"/>
      <c r="AB381" s="38"/>
      <c r="AC381" s="38"/>
      <c r="AD381" s="38"/>
      <c r="AE381" s="38"/>
      <c r="AF381" s="38"/>
      <c r="AG381" s="38"/>
      <c r="AH381" s="38"/>
      <c r="AI381" s="38"/>
      <c r="AJ381" s="38"/>
    </row>
    <row r="382" spans="1:36" ht="15.75" customHeight="1" x14ac:dyDescent="0.2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  <c r="AA382" s="38"/>
      <c r="AB382" s="38"/>
      <c r="AC382" s="38"/>
      <c r="AD382" s="38"/>
      <c r="AE382" s="38"/>
      <c r="AF382" s="38"/>
      <c r="AG382" s="38"/>
      <c r="AH382" s="38"/>
      <c r="AI382" s="38"/>
      <c r="AJ382" s="38"/>
    </row>
    <row r="383" spans="1:36" ht="15.75" customHeight="1" x14ac:dyDescent="0.2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  <c r="AA383" s="38"/>
      <c r="AB383" s="38"/>
      <c r="AC383" s="38"/>
      <c r="AD383" s="38"/>
      <c r="AE383" s="38"/>
      <c r="AF383" s="38"/>
      <c r="AG383" s="38"/>
      <c r="AH383" s="38"/>
      <c r="AI383" s="38"/>
      <c r="AJ383" s="38"/>
    </row>
    <row r="384" spans="1:36" ht="15.75" customHeight="1" x14ac:dyDescent="0.2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  <c r="AA384" s="38"/>
      <c r="AB384" s="38"/>
      <c r="AC384" s="38"/>
      <c r="AD384" s="38"/>
      <c r="AE384" s="38"/>
      <c r="AF384" s="38"/>
      <c r="AG384" s="38"/>
      <c r="AH384" s="38"/>
      <c r="AI384" s="38"/>
      <c r="AJ384" s="38"/>
    </row>
    <row r="385" spans="1:36" ht="15.75" customHeight="1" x14ac:dyDescent="0.2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  <c r="AA385" s="38"/>
      <c r="AB385" s="38"/>
      <c r="AC385" s="38"/>
      <c r="AD385" s="38"/>
      <c r="AE385" s="38"/>
      <c r="AF385" s="38"/>
      <c r="AG385" s="38"/>
      <c r="AH385" s="38"/>
      <c r="AI385" s="38"/>
      <c r="AJ385" s="38"/>
    </row>
    <row r="386" spans="1:36" ht="15.75" customHeight="1" x14ac:dyDescent="0.2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  <c r="AA386" s="38"/>
      <c r="AB386" s="38"/>
      <c r="AC386" s="38"/>
      <c r="AD386" s="38"/>
      <c r="AE386" s="38"/>
      <c r="AF386" s="38"/>
      <c r="AG386" s="38"/>
      <c r="AH386" s="38"/>
      <c r="AI386" s="38"/>
      <c r="AJ386" s="38"/>
    </row>
    <row r="387" spans="1:36" ht="15.75" customHeight="1" x14ac:dyDescent="0.2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  <c r="AA387" s="38"/>
      <c r="AB387" s="38"/>
      <c r="AC387" s="38"/>
      <c r="AD387" s="38"/>
      <c r="AE387" s="38"/>
      <c r="AF387" s="38"/>
      <c r="AG387" s="38"/>
      <c r="AH387" s="38"/>
      <c r="AI387" s="38"/>
      <c r="AJ387" s="38"/>
    </row>
    <row r="388" spans="1:36" ht="15.75" customHeight="1" x14ac:dyDescent="0.2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  <c r="AA388" s="38"/>
      <c r="AB388" s="38"/>
      <c r="AC388" s="38"/>
      <c r="AD388" s="38"/>
      <c r="AE388" s="38"/>
      <c r="AF388" s="38"/>
      <c r="AG388" s="38"/>
      <c r="AH388" s="38"/>
      <c r="AI388" s="38"/>
      <c r="AJ388" s="38"/>
    </row>
    <row r="389" spans="1:36" ht="15.75" customHeight="1" x14ac:dyDescent="0.2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  <c r="AA389" s="38"/>
      <c r="AB389" s="38"/>
      <c r="AC389" s="38"/>
      <c r="AD389" s="38"/>
      <c r="AE389" s="38"/>
      <c r="AF389" s="38"/>
      <c r="AG389" s="38"/>
      <c r="AH389" s="38"/>
      <c r="AI389" s="38"/>
      <c r="AJ389" s="38"/>
    </row>
    <row r="390" spans="1:36" ht="15.75" customHeight="1" x14ac:dyDescent="0.2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  <c r="AA390" s="38"/>
      <c r="AB390" s="38"/>
      <c r="AC390" s="38"/>
      <c r="AD390" s="38"/>
      <c r="AE390" s="38"/>
      <c r="AF390" s="38"/>
      <c r="AG390" s="38"/>
      <c r="AH390" s="38"/>
      <c r="AI390" s="38"/>
      <c r="AJ390" s="38"/>
    </row>
    <row r="391" spans="1:36" ht="15.75" customHeight="1" x14ac:dyDescent="0.2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  <c r="AA391" s="38"/>
      <c r="AB391" s="38"/>
      <c r="AC391" s="38"/>
      <c r="AD391" s="38"/>
      <c r="AE391" s="38"/>
      <c r="AF391" s="38"/>
      <c r="AG391" s="38"/>
      <c r="AH391" s="38"/>
      <c r="AI391" s="38"/>
      <c r="AJ391" s="38"/>
    </row>
    <row r="392" spans="1:36" ht="15.75" customHeight="1" x14ac:dyDescent="0.2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  <c r="AA392" s="38"/>
      <c r="AB392" s="38"/>
      <c r="AC392" s="38"/>
      <c r="AD392" s="38"/>
      <c r="AE392" s="38"/>
      <c r="AF392" s="38"/>
      <c r="AG392" s="38"/>
      <c r="AH392" s="38"/>
      <c r="AI392" s="38"/>
      <c r="AJ392" s="38"/>
    </row>
    <row r="393" spans="1:36" ht="15.75" customHeight="1" x14ac:dyDescent="0.2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  <c r="AA393" s="38"/>
      <c r="AB393" s="38"/>
      <c r="AC393" s="38"/>
      <c r="AD393" s="38"/>
      <c r="AE393" s="38"/>
      <c r="AF393" s="38"/>
      <c r="AG393" s="38"/>
      <c r="AH393" s="38"/>
      <c r="AI393" s="38"/>
      <c r="AJ393" s="38"/>
    </row>
    <row r="394" spans="1:36" ht="15.75" customHeight="1" x14ac:dyDescent="0.2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  <c r="AA394" s="38"/>
      <c r="AB394" s="38"/>
      <c r="AC394" s="38"/>
      <c r="AD394" s="38"/>
      <c r="AE394" s="38"/>
      <c r="AF394" s="38"/>
      <c r="AG394" s="38"/>
      <c r="AH394" s="38"/>
      <c r="AI394" s="38"/>
      <c r="AJ394" s="38"/>
    </row>
    <row r="395" spans="1:36" ht="15.75" customHeight="1" x14ac:dyDescent="0.2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  <c r="AA395" s="38"/>
      <c r="AB395" s="38"/>
      <c r="AC395" s="38"/>
      <c r="AD395" s="38"/>
      <c r="AE395" s="38"/>
      <c r="AF395" s="38"/>
      <c r="AG395" s="38"/>
      <c r="AH395" s="38"/>
      <c r="AI395" s="38"/>
      <c r="AJ395" s="38"/>
    </row>
    <row r="396" spans="1:36" ht="15.75" customHeight="1" x14ac:dyDescent="0.2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  <c r="AA396" s="38"/>
      <c r="AB396" s="38"/>
      <c r="AC396" s="38"/>
      <c r="AD396" s="38"/>
      <c r="AE396" s="38"/>
      <c r="AF396" s="38"/>
      <c r="AG396" s="38"/>
      <c r="AH396" s="38"/>
      <c r="AI396" s="38"/>
      <c r="AJ396" s="38"/>
    </row>
    <row r="397" spans="1:36" ht="15.75" customHeight="1" x14ac:dyDescent="0.2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  <c r="AA397" s="38"/>
      <c r="AB397" s="38"/>
      <c r="AC397" s="38"/>
      <c r="AD397" s="38"/>
      <c r="AE397" s="38"/>
      <c r="AF397" s="38"/>
      <c r="AG397" s="38"/>
      <c r="AH397" s="38"/>
      <c r="AI397" s="38"/>
      <c r="AJ397" s="38"/>
    </row>
    <row r="398" spans="1:36" ht="15.75" customHeight="1" x14ac:dyDescent="0.2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  <c r="AA398" s="38"/>
      <c r="AB398" s="38"/>
      <c r="AC398" s="38"/>
      <c r="AD398" s="38"/>
      <c r="AE398" s="38"/>
      <c r="AF398" s="38"/>
      <c r="AG398" s="38"/>
      <c r="AH398" s="38"/>
      <c r="AI398" s="38"/>
      <c r="AJ398" s="38"/>
    </row>
    <row r="399" spans="1:36" ht="15.75" customHeight="1" x14ac:dyDescent="0.2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  <c r="AA399" s="38"/>
      <c r="AB399" s="38"/>
      <c r="AC399" s="38"/>
      <c r="AD399" s="38"/>
      <c r="AE399" s="38"/>
      <c r="AF399" s="38"/>
      <c r="AG399" s="38"/>
      <c r="AH399" s="38"/>
      <c r="AI399" s="38"/>
      <c r="AJ399" s="38"/>
    </row>
    <row r="400" spans="1:36" ht="15.75" customHeight="1" x14ac:dyDescent="0.2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  <c r="AA400" s="38"/>
      <c r="AB400" s="38"/>
      <c r="AC400" s="38"/>
      <c r="AD400" s="38"/>
      <c r="AE400" s="38"/>
      <c r="AF400" s="38"/>
      <c r="AG400" s="38"/>
      <c r="AH400" s="38"/>
      <c r="AI400" s="38"/>
      <c r="AJ400" s="38"/>
    </row>
    <row r="401" spans="1:36" ht="15.75" customHeight="1" x14ac:dyDescent="0.2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  <c r="AA401" s="38"/>
      <c r="AB401" s="38"/>
      <c r="AC401" s="38"/>
      <c r="AD401" s="38"/>
      <c r="AE401" s="38"/>
      <c r="AF401" s="38"/>
      <c r="AG401" s="38"/>
      <c r="AH401" s="38"/>
      <c r="AI401" s="38"/>
      <c r="AJ401" s="38"/>
    </row>
    <row r="402" spans="1:36" ht="15.75" customHeight="1" x14ac:dyDescent="0.2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  <c r="AA402" s="38"/>
      <c r="AB402" s="38"/>
      <c r="AC402" s="38"/>
      <c r="AD402" s="38"/>
      <c r="AE402" s="38"/>
      <c r="AF402" s="38"/>
      <c r="AG402" s="38"/>
      <c r="AH402" s="38"/>
      <c r="AI402" s="38"/>
      <c r="AJ402" s="38"/>
    </row>
    <row r="403" spans="1:36" ht="15.75" customHeight="1" x14ac:dyDescent="0.2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  <c r="AA403" s="38"/>
      <c r="AB403" s="38"/>
      <c r="AC403" s="38"/>
      <c r="AD403" s="38"/>
      <c r="AE403" s="38"/>
      <c r="AF403" s="38"/>
      <c r="AG403" s="38"/>
      <c r="AH403" s="38"/>
      <c r="AI403" s="38"/>
      <c r="AJ403" s="38"/>
    </row>
    <row r="404" spans="1:36" ht="15.75" customHeight="1" x14ac:dyDescent="0.2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  <c r="AA404" s="38"/>
      <c r="AB404" s="38"/>
      <c r="AC404" s="38"/>
      <c r="AD404" s="38"/>
      <c r="AE404" s="38"/>
      <c r="AF404" s="38"/>
      <c r="AG404" s="38"/>
      <c r="AH404" s="38"/>
      <c r="AI404" s="38"/>
      <c r="AJ404" s="38"/>
    </row>
    <row r="405" spans="1:36" ht="15.75" customHeight="1" x14ac:dyDescent="0.2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  <c r="AA405" s="38"/>
      <c r="AB405" s="38"/>
      <c r="AC405" s="38"/>
      <c r="AD405" s="38"/>
      <c r="AE405" s="38"/>
      <c r="AF405" s="38"/>
      <c r="AG405" s="38"/>
      <c r="AH405" s="38"/>
      <c r="AI405" s="38"/>
      <c r="AJ405" s="38"/>
    </row>
    <row r="406" spans="1:36" ht="15.75" customHeight="1" x14ac:dyDescent="0.2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  <c r="AA406" s="38"/>
      <c r="AB406" s="38"/>
      <c r="AC406" s="38"/>
      <c r="AD406" s="38"/>
      <c r="AE406" s="38"/>
      <c r="AF406" s="38"/>
      <c r="AG406" s="38"/>
      <c r="AH406" s="38"/>
      <c r="AI406" s="38"/>
      <c r="AJ406" s="38"/>
    </row>
    <row r="407" spans="1:36" ht="15.75" customHeight="1" x14ac:dyDescent="0.2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  <c r="AA407" s="38"/>
      <c r="AB407" s="38"/>
      <c r="AC407" s="38"/>
      <c r="AD407" s="38"/>
      <c r="AE407" s="38"/>
      <c r="AF407" s="38"/>
      <c r="AG407" s="38"/>
      <c r="AH407" s="38"/>
      <c r="AI407" s="38"/>
      <c r="AJ407" s="38"/>
    </row>
    <row r="408" spans="1:36" ht="15.75" customHeight="1" x14ac:dyDescent="0.2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  <c r="AA408" s="38"/>
      <c r="AB408" s="38"/>
      <c r="AC408" s="38"/>
      <c r="AD408" s="38"/>
      <c r="AE408" s="38"/>
      <c r="AF408" s="38"/>
      <c r="AG408" s="38"/>
      <c r="AH408" s="38"/>
      <c r="AI408" s="38"/>
      <c r="AJ408" s="38"/>
    </row>
    <row r="409" spans="1:36" ht="15.75" customHeight="1" x14ac:dyDescent="0.2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  <c r="AA409" s="38"/>
      <c r="AB409" s="38"/>
      <c r="AC409" s="38"/>
      <c r="AD409" s="38"/>
      <c r="AE409" s="38"/>
      <c r="AF409" s="38"/>
      <c r="AG409" s="38"/>
      <c r="AH409" s="38"/>
      <c r="AI409" s="38"/>
      <c r="AJ409" s="38"/>
    </row>
    <row r="410" spans="1:36" ht="15.75" customHeight="1" x14ac:dyDescent="0.2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  <c r="AA410" s="38"/>
      <c r="AB410" s="38"/>
      <c r="AC410" s="38"/>
      <c r="AD410" s="38"/>
      <c r="AE410" s="38"/>
      <c r="AF410" s="38"/>
      <c r="AG410" s="38"/>
      <c r="AH410" s="38"/>
      <c r="AI410" s="38"/>
      <c r="AJ410" s="38"/>
    </row>
    <row r="411" spans="1:36" ht="15.75" customHeight="1" x14ac:dyDescent="0.2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  <c r="AA411" s="38"/>
      <c r="AB411" s="38"/>
      <c r="AC411" s="38"/>
      <c r="AD411" s="38"/>
      <c r="AE411" s="38"/>
      <c r="AF411" s="38"/>
      <c r="AG411" s="38"/>
      <c r="AH411" s="38"/>
      <c r="AI411" s="38"/>
      <c r="AJ411" s="38"/>
    </row>
    <row r="412" spans="1:36" ht="15.75" customHeight="1" x14ac:dyDescent="0.2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  <c r="AA412" s="38"/>
      <c r="AB412" s="38"/>
      <c r="AC412" s="38"/>
      <c r="AD412" s="38"/>
      <c r="AE412" s="38"/>
      <c r="AF412" s="38"/>
      <c r="AG412" s="38"/>
      <c r="AH412" s="38"/>
      <c r="AI412" s="38"/>
      <c r="AJ412" s="38"/>
    </row>
    <row r="413" spans="1:36" ht="15.75" customHeight="1" x14ac:dyDescent="0.2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  <c r="AA413" s="38"/>
      <c r="AB413" s="38"/>
      <c r="AC413" s="38"/>
      <c r="AD413" s="38"/>
      <c r="AE413" s="38"/>
      <c r="AF413" s="38"/>
      <c r="AG413" s="38"/>
      <c r="AH413" s="38"/>
      <c r="AI413" s="38"/>
      <c r="AJ413" s="38"/>
    </row>
    <row r="414" spans="1:36" ht="15.75" customHeight="1" x14ac:dyDescent="0.2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  <c r="AA414" s="38"/>
      <c r="AB414" s="38"/>
      <c r="AC414" s="38"/>
      <c r="AD414" s="38"/>
      <c r="AE414" s="38"/>
      <c r="AF414" s="38"/>
      <c r="AG414" s="38"/>
      <c r="AH414" s="38"/>
      <c r="AI414" s="38"/>
      <c r="AJ414" s="38"/>
    </row>
    <row r="415" spans="1:36" ht="15.75" customHeight="1" x14ac:dyDescent="0.2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  <c r="AA415" s="38"/>
      <c r="AB415" s="38"/>
      <c r="AC415" s="38"/>
      <c r="AD415" s="38"/>
      <c r="AE415" s="38"/>
      <c r="AF415" s="38"/>
      <c r="AG415" s="38"/>
      <c r="AH415" s="38"/>
      <c r="AI415" s="38"/>
      <c r="AJ415" s="38"/>
    </row>
    <row r="416" spans="1:36" ht="15.75" customHeight="1" x14ac:dyDescent="0.2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  <c r="AA416" s="38"/>
      <c r="AB416" s="38"/>
      <c r="AC416" s="38"/>
      <c r="AD416" s="38"/>
      <c r="AE416" s="38"/>
      <c r="AF416" s="38"/>
      <c r="AG416" s="38"/>
      <c r="AH416" s="38"/>
      <c r="AI416" s="38"/>
      <c r="AJ416" s="38"/>
    </row>
    <row r="417" spans="1:36" ht="15.75" customHeight="1" x14ac:dyDescent="0.2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  <c r="AA417" s="38"/>
      <c r="AB417" s="38"/>
      <c r="AC417" s="38"/>
      <c r="AD417" s="38"/>
      <c r="AE417" s="38"/>
      <c r="AF417" s="38"/>
      <c r="AG417" s="38"/>
      <c r="AH417" s="38"/>
      <c r="AI417" s="38"/>
      <c r="AJ417" s="38"/>
    </row>
    <row r="418" spans="1:36" ht="15.75" customHeight="1" x14ac:dyDescent="0.2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  <c r="AA418" s="38"/>
      <c r="AB418" s="38"/>
      <c r="AC418" s="38"/>
      <c r="AD418" s="38"/>
      <c r="AE418" s="38"/>
      <c r="AF418" s="38"/>
      <c r="AG418" s="38"/>
      <c r="AH418" s="38"/>
      <c r="AI418" s="38"/>
      <c r="AJ418" s="38"/>
    </row>
    <row r="419" spans="1:36" ht="15.75" customHeight="1" x14ac:dyDescent="0.2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  <c r="AA419" s="38"/>
      <c r="AB419" s="38"/>
      <c r="AC419" s="38"/>
      <c r="AD419" s="38"/>
      <c r="AE419" s="38"/>
      <c r="AF419" s="38"/>
      <c r="AG419" s="38"/>
      <c r="AH419" s="38"/>
      <c r="AI419" s="38"/>
      <c r="AJ419" s="38"/>
    </row>
    <row r="420" spans="1:36" ht="15.75" customHeight="1" x14ac:dyDescent="0.2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  <c r="AA420" s="38"/>
      <c r="AB420" s="38"/>
      <c r="AC420" s="38"/>
      <c r="AD420" s="38"/>
      <c r="AE420" s="38"/>
      <c r="AF420" s="38"/>
      <c r="AG420" s="38"/>
      <c r="AH420" s="38"/>
      <c r="AI420" s="38"/>
      <c r="AJ420" s="38"/>
    </row>
    <row r="421" spans="1:36" ht="15.75" customHeight="1" x14ac:dyDescent="0.2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  <c r="AA421" s="38"/>
      <c r="AB421" s="38"/>
      <c r="AC421" s="38"/>
      <c r="AD421" s="38"/>
      <c r="AE421" s="38"/>
      <c r="AF421" s="38"/>
      <c r="AG421" s="38"/>
      <c r="AH421" s="38"/>
      <c r="AI421" s="38"/>
      <c r="AJ421" s="38"/>
    </row>
    <row r="422" spans="1:36" ht="15.75" customHeight="1" x14ac:dyDescent="0.2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  <c r="AA422" s="38"/>
      <c r="AB422" s="38"/>
      <c r="AC422" s="38"/>
      <c r="AD422" s="38"/>
      <c r="AE422" s="38"/>
      <c r="AF422" s="38"/>
      <c r="AG422" s="38"/>
      <c r="AH422" s="38"/>
      <c r="AI422" s="38"/>
      <c r="AJ422" s="38"/>
    </row>
    <row r="423" spans="1:36" ht="15.75" customHeight="1" x14ac:dyDescent="0.2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  <c r="AA423" s="38"/>
      <c r="AB423" s="38"/>
      <c r="AC423" s="38"/>
      <c r="AD423" s="38"/>
      <c r="AE423" s="38"/>
      <c r="AF423" s="38"/>
      <c r="AG423" s="38"/>
      <c r="AH423" s="38"/>
      <c r="AI423" s="38"/>
      <c r="AJ423" s="38"/>
    </row>
    <row r="424" spans="1:36" ht="15.75" customHeight="1" x14ac:dyDescent="0.2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  <c r="AA424" s="38"/>
      <c r="AB424" s="38"/>
      <c r="AC424" s="38"/>
      <c r="AD424" s="38"/>
      <c r="AE424" s="38"/>
      <c r="AF424" s="38"/>
      <c r="AG424" s="38"/>
      <c r="AH424" s="38"/>
      <c r="AI424" s="38"/>
      <c r="AJ424" s="38"/>
    </row>
    <row r="425" spans="1:36" ht="15.75" customHeight="1" x14ac:dyDescent="0.2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  <c r="AA425" s="38"/>
      <c r="AB425" s="38"/>
      <c r="AC425" s="38"/>
      <c r="AD425" s="38"/>
      <c r="AE425" s="38"/>
      <c r="AF425" s="38"/>
      <c r="AG425" s="38"/>
      <c r="AH425" s="38"/>
      <c r="AI425" s="38"/>
      <c r="AJ425" s="38"/>
    </row>
    <row r="426" spans="1:36" ht="15.75" customHeight="1" x14ac:dyDescent="0.2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  <c r="AA426" s="38"/>
      <c r="AB426" s="38"/>
      <c r="AC426" s="38"/>
      <c r="AD426" s="38"/>
      <c r="AE426" s="38"/>
      <c r="AF426" s="38"/>
      <c r="AG426" s="38"/>
      <c r="AH426" s="38"/>
      <c r="AI426" s="38"/>
      <c r="AJ426" s="38"/>
    </row>
    <row r="427" spans="1:36" ht="15.75" customHeight="1" x14ac:dyDescent="0.2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  <c r="AA427" s="38"/>
      <c r="AB427" s="38"/>
      <c r="AC427" s="38"/>
      <c r="AD427" s="38"/>
      <c r="AE427" s="38"/>
      <c r="AF427" s="38"/>
      <c r="AG427" s="38"/>
      <c r="AH427" s="38"/>
      <c r="AI427" s="38"/>
      <c r="AJ427" s="38"/>
    </row>
    <row r="428" spans="1:36" ht="15.75" customHeight="1" x14ac:dyDescent="0.2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  <c r="AA428" s="38"/>
      <c r="AB428" s="38"/>
      <c r="AC428" s="38"/>
      <c r="AD428" s="38"/>
      <c r="AE428" s="38"/>
      <c r="AF428" s="38"/>
      <c r="AG428" s="38"/>
      <c r="AH428" s="38"/>
      <c r="AI428" s="38"/>
      <c r="AJ428" s="38"/>
    </row>
    <row r="429" spans="1:36" ht="15.75" customHeight="1" x14ac:dyDescent="0.2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  <c r="AA429" s="38"/>
      <c r="AB429" s="38"/>
      <c r="AC429" s="38"/>
      <c r="AD429" s="38"/>
      <c r="AE429" s="38"/>
      <c r="AF429" s="38"/>
      <c r="AG429" s="38"/>
      <c r="AH429" s="38"/>
      <c r="AI429" s="38"/>
      <c r="AJ429" s="38"/>
    </row>
    <row r="430" spans="1:36" ht="15.75" customHeight="1" x14ac:dyDescent="0.2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  <c r="AA430" s="38"/>
      <c r="AB430" s="38"/>
      <c r="AC430" s="38"/>
      <c r="AD430" s="38"/>
      <c r="AE430" s="38"/>
      <c r="AF430" s="38"/>
      <c r="AG430" s="38"/>
      <c r="AH430" s="38"/>
      <c r="AI430" s="38"/>
      <c r="AJ430" s="38"/>
    </row>
    <row r="431" spans="1:36" ht="15.75" customHeight="1" x14ac:dyDescent="0.2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  <c r="AA431" s="38"/>
      <c r="AB431" s="38"/>
      <c r="AC431" s="38"/>
      <c r="AD431" s="38"/>
      <c r="AE431" s="38"/>
      <c r="AF431" s="38"/>
      <c r="AG431" s="38"/>
      <c r="AH431" s="38"/>
      <c r="AI431" s="38"/>
      <c r="AJ431" s="38"/>
    </row>
    <row r="432" spans="1:36" ht="15.75" customHeight="1" x14ac:dyDescent="0.2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  <c r="AA432" s="38"/>
      <c r="AB432" s="38"/>
      <c r="AC432" s="38"/>
      <c r="AD432" s="38"/>
      <c r="AE432" s="38"/>
      <c r="AF432" s="38"/>
      <c r="AG432" s="38"/>
      <c r="AH432" s="38"/>
      <c r="AI432" s="38"/>
      <c r="AJ432" s="38"/>
    </row>
    <row r="433" spans="1:36" ht="15.75" customHeight="1" x14ac:dyDescent="0.2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  <c r="AA433" s="38"/>
      <c r="AB433" s="38"/>
      <c r="AC433" s="38"/>
      <c r="AD433" s="38"/>
      <c r="AE433" s="38"/>
      <c r="AF433" s="38"/>
      <c r="AG433" s="38"/>
      <c r="AH433" s="38"/>
      <c r="AI433" s="38"/>
      <c r="AJ433" s="38"/>
    </row>
    <row r="434" spans="1:36" ht="15.75" customHeight="1" x14ac:dyDescent="0.2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  <c r="AA434" s="38"/>
      <c r="AB434" s="38"/>
      <c r="AC434" s="38"/>
      <c r="AD434" s="38"/>
      <c r="AE434" s="38"/>
      <c r="AF434" s="38"/>
      <c r="AG434" s="38"/>
      <c r="AH434" s="38"/>
      <c r="AI434" s="38"/>
      <c r="AJ434" s="38"/>
    </row>
    <row r="435" spans="1:36" ht="15.75" customHeight="1" x14ac:dyDescent="0.2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  <c r="AA435" s="38"/>
      <c r="AB435" s="38"/>
      <c r="AC435" s="38"/>
      <c r="AD435" s="38"/>
      <c r="AE435" s="38"/>
      <c r="AF435" s="38"/>
      <c r="AG435" s="38"/>
      <c r="AH435" s="38"/>
      <c r="AI435" s="38"/>
      <c r="AJ435" s="38"/>
    </row>
    <row r="436" spans="1:36" ht="15.75" customHeight="1" x14ac:dyDescent="0.2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  <c r="AA436" s="38"/>
      <c r="AB436" s="38"/>
      <c r="AC436" s="38"/>
      <c r="AD436" s="38"/>
      <c r="AE436" s="38"/>
      <c r="AF436" s="38"/>
      <c r="AG436" s="38"/>
      <c r="AH436" s="38"/>
      <c r="AI436" s="38"/>
      <c r="AJ436" s="38"/>
    </row>
    <row r="437" spans="1:36" ht="15.75" customHeight="1" x14ac:dyDescent="0.2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  <c r="AA437" s="38"/>
      <c r="AB437" s="38"/>
      <c r="AC437" s="38"/>
      <c r="AD437" s="38"/>
      <c r="AE437" s="38"/>
      <c r="AF437" s="38"/>
      <c r="AG437" s="38"/>
      <c r="AH437" s="38"/>
      <c r="AI437" s="38"/>
      <c r="AJ437" s="38"/>
    </row>
    <row r="438" spans="1:36" ht="15.75" customHeight="1" x14ac:dyDescent="0.2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  <c r="AA438" s="38"/>
      <c r="AB438" s="38"/>
      <c r="AC438" s="38"/>
      <c r="AD438" s="38"/>
      <c r="AE438" s="38"/>
      <c r="AF438" s="38"/>
      <c r="AG438" s="38"/>
      <c r="AH438" s="38"/>
      <c r="AI438" s="38"/>
      <c r="AJ438" s="38"/>
    </row>
    <row r="439" spans="1:36" ht="15.75" customHeight="1" x14ac:dyDescent="0.2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  <c r="AA439" s="38"/>
      <c r="AB439" s="38"/>
      <c r="AC439" s="38"/>
      <c r="AD439" s="38"/>
      <c r="AE439" s="38"/>
      <c r="AF439" s="38"/>
      <c r="AG439" s="38"/>
      <c r="AH439" s="38"/>
      <c r="AI439" s="38"/>
      <c r="AJ439" s="38"/>
    </row>
    <row r="440" spans="1:36" ht="15.75" customHeight="1" x14ac:dyDescent="0.2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  <c r="AA440" s="38"/>
      <c r="AB440" s="38"/>
      <c r="AC440" s="38"/>
      <c r="AD440" s="38"/>
      <c r="AE440" s="38"/>
      <c r="AF440" s="38"/>
      <c r="AG440" s="38"/>
      <c r="AH440" s="38"/>
      <c r="AI440" s="38"/>
      <c r="AJ440" s="38"/>
    </row>
    <row r="441" spans="1:36" ht="15.75" customHeight="1" x14ac:dyDescent="0.2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  <c r="AA441" s="38"/>
      <c r="AB441" s="38"/>
      <c r="AC441" s="38"/>
      <c r="AD441" s="38"/>
      <c r="AE441" s="38"/>
      <c r="AF441" s="38"/>
      <c r="AG441" s="38"/>
      <c r="AH441" s="38"/>
      <c r="AI441" s="38"/>
      <c r="AJ441" s="38"/>
    </row>
    <row r="442" spans="1:36" ht="15.75" customHeight="1" x14ac:dyDescent="0.2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  <c r="AA442" s="38"/>
      <c r="AB442" s="38"/>
      <c r="AC442" s="38"/>
      <c r="AD442" s="38"/>
      <c r="AE442" s="38"/>
      <c r="AF442" s="38"/>
      <c r="AG442" s="38"/>
      <c r="AH442" s="38"/>
      <c r="AI442" s="38"/>
      <c r="AJ442" s="38"/>
    </row>
    <row r="443" spans="1:36" ht="15.75" customHeight="1" x14ac:dyDescent="0.2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  <c r="AA443" s="38"/>
      <c r="AB443" s="38"/>
      <c r="AC443" s="38"/>
      <c r="AD443" s="38"/>
      <c r="AE443" s="38"/>
      <c r="AF443" s="38"/>
      <c r="AG443" s="38"/>
      <c r="AH443" s="38"/>
      <c r="AI443" s="38"/>
      <c r="AJ443" s="38"/>
    </row>
    <row r="444" spans="1:36" ht="15.75" customHeight="1" x14ac:dyDescent="0.2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  <c r="AA444" s="38"/>
      <c r="AB444" s="38"/>
      <c r="AC444" s="38"/>
      <c r="AD444" s="38"/>
      <c r="AE444" s="38"/>
      <c r="AF444" s="38"/>
      <c r="AG444" s="38"/>
      <c r="AH444" s="38"/>
      <c r="AI444" s="38"/>
      <c r="AJ444" s="38"/>
    </row>
    <row r="445" spans="1:36" ht="15.75" customHeight="1" x14ac:dyDescent="0.2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  <c r="AA445" s="38"/>
      <c r="AB445" s="38"/>
      <c r="AC445" s="38"/>
      <c r="AD445" s="38"/>
      <c r="AE445" s="38"/>
      <c r="AF445" s="38"/>
      <c r="AG445" s="38"/>
      <c r="AH445" s="38"/>
      <c r="AI445" s="38"/>
      <c r="AJ445" s="38"/>
    </row>
    <row r="446" spans="1:36" ht="15.75" customHeight="1" x14ac:dyDescent="0.2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  <c r="AA446" s="38"/>
      <c r="AB446" s="38"/>
      <c r="AC446" s="38"/>
      <c r="AD446" s="38"/>
      <c r="AE446" s="38"/>
      <c r="AF446" s="38"/>
      <c r="AG446" s="38"/>
      <c r="AH446" s="38"/>
      <c r="AI446" s="38"/>
      <c r="AJ446" s="38"/>
    </row>
    <row r="447" spans="1:36" ht="15.75" customHeight="1" x14ac:dyDescent="0.2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  <c r="AA447" s="38"/>
      <c r="AB447" s="38"/>
      <c r="AC447" s="38"/>
      <c r="AD447" s="38"/>
      <c r="AE447" s="38"/>
      <c r="AF447" s="38"/>
      <c r="AG447" s="38"/>
      <c r="AH447" s="38"/>
      <c r="AI447" s="38"/>
      <c r="AJ447" s="38"/>
    </row>
    <row r="448" spans="1:36" ht="15.75" customHeight="1" x14ac:dyDescent="0.2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  <c r="AA448" s="38"/>
      <c r="AB448" s="38"/>
      <c r="AC448" s="38"/>
      <c r="AD448" s="38"/>
      <c r="AE448" s="38"/>
      <c r="AF448" s="38"/>
      <c r="AG448" s="38"/>
      <c r="AH448" s="38"/>
      <c r="AI448" s="38"/>
      <c r="AJ448" s="38"/>
    </row>
    <row r="449" spans="1:36" ht="15.75" customHeight="1" x14ac:dyDescent="0.2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  <c r="AA449" s="38"/>
      <c r="AB449" s="38"/>
      <c r="AC449" s="38"/>
      <c r="AD449" s="38"/>
      <c r="AE449" s="38"/>
      <c r="AF449" s="38"/>
      <c r="AG449" s="38"/>
      <c r="AH449" s="38"/>
      <c r="AI449" s="38"/>
      <c r="AJ449" s="38"/>
    </row>
    <row r="450" spans="1:36" ht="15.75" customHeight="1" x14ac:dyDescent="0.2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  <c r="AA450" s="38"/>
      <c r="AB450" s="38"/>
      <c r="AC450" s="38"/>
      <c r="AD450" s="38"/>
      <c r="AE450" s="38"/>
      <c r="AF450" s="38"/>
      <c r="AG450" s="38"/>
      <c r="AH450" s="38"/>
      <c r="AI450" s="38"/>
      <c r="AJ450" s="38"/>
    </row>
    <row r="451" spans="1:36" ht="15.75" customHeight="1" x14ac:dyDescent="0.2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  <c r="AA451" s="38"/>
      <c r="AB451" s="38"/>
      <c r="AC451" s="38"/>
      <c r="AD451" s="38"/>
      <c r="AE451" s="38"/>
      <c r="AF451" s="38"/>
      <c r="AG451" s="38"/>
      <c r="AH451" s="38"/>
      <c r="AI451" s="38"/>
      <c r="AJ451" s="38"/>
    </row>
    <row r="452" spans="1:36" ht="15.75" customHeight="1" x14ac:dyDescent="0.2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  <c r="AA452" s="38"/>
      <c r="AB452" s="38"/>
      <c r="AC452" s="38"/>
      <c r="AD452" s="38"/>
      <c r="AE452" s="38"/>
      <c r="AF452" s="38"/>
      <c r="AG452" s="38"/>
      <c r="AH452" s="38"/>
      <c r="AI452" s="38"/>
      <c r="AJ452" s="38"/>
    </row>
    <row r="453" spans="1:36" ht="15.75" customHeight="1" x14ac:dyDescent="0.2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  <c r="AA453" s="38"/>
      <c r="AB453" s="38"/>
      <c r="AC453" s="38"/>
      <c r="AD453" s="38"/>
      <c r="AE453" s="38"/>
      <c r="AF453" s="38"/>
      <c r="AG453" s="38"/>
      <c r="AH453" s="38"/>
      <c r="AI453" s="38"/>
      <c r="AJ453" s="38"/>
    </row>
    <row r="454" spans="1:36" ht="15.75" customHeight="1" x14ac:dyDescent="0.2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  <c r="AA454" s="38"/>
      <c r="AB454" s="38"/>
      <c r="AC454" s="38"/>
      <c r="AD454" s="38"/>
      <c r="AE454" s="38"/>
      <c r="AF454" s="38"/>
      <c r="AG454" s="38"/>
      <c r="AH454" s="38"/>
      <c r="AI454" s="38"/>
      <c r="AJ454" s="38"/>
    </row>
    <row r="455" spans="1:36" ht="15.75" customHeight="1" x14ac:dyDescent="0.2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  <c r="AA455" s="38"/>
      <c r="AB455" s="38"/>
      <c r="AC455" s="38"/>
      <c r="AD455" s="38"/>
      <c r="AE455" s="38"/>
      <c r="AF455" s="38"/>
      <c r="AG455" s="38"/>
      <c r="AH455" s="38"/>
      <c r="AI455" s="38"/>
      <c r="AJ455" s="38"/>
    </row>
    <row r="456" spans="1:36" ht="15.75" customHeight="1" x14ac:dyDescent="0.2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  <c r="AA456" s="38"/>
      <c r="AB456" s="38"/>
      <c r="AC456" s="38"/>
      <c r="AD456" s="38"/>
      <c r="AE456" s="38"/>
      <c r="AF456" s="38"/>
      <c r="AG456" s="38"/>
      <c r="AH456" s="38"/>
      <c r="AI456" s="38"/>
      <c r="AJ456" s="38"/>
    </row>
    <row r="457" spans="1:36" ht="15.75" customHeight="1" x14ac:dyDescent="0.2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  <c r="AA457" s="38"/>
      <c r="AB457" s="38"/>
      <c r="AC457" s="38"/>
      <c r="AD457" s="38"/>
      <c r="AE457" s="38"/>
      <c r="AF457" s="38"/>
      <c r="AG457" s="38"/>
      <c r="AH457" s="38"/>
      <c r="AI457" s="38"/>
      <c r="AJ457" s="38"/>
    </row>
    <row r="458" spans="1:36" ht="15.75" customHeight="1" x14ac:dyDescent="0.2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  <c r="AA458" s="38"/>
      <c r="AB458" s="38"/>
      <c r="AC458" s="38"/>
      <c r="AD458" s="38"/>
      <c r="AE458" s="38"/>
      <c r="AF458" s="38"/>
      <c r="AG458" s="38"/>
      <c r="AH458" s="38"/>
      <c r="AI458" s="38"/>
      <c r="AJ458" s="38"/>
    </row>
    <row r="459" spans="1:36" ht="15.75" customHeight="1" x14ac:dyDescent="0.2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  <c r="AA459" s="38"/>
      <c r="AB459" s="38"/>
      <c r="AC459" s="38"/>
      <c r="AD459" s="38"/>
      <c r="AE459" s="38"/>
      <c r="AF459" s="38"/>
      <c r="AG459" s="38"/>
      <c r="AH459" s="38"/>
      <c r="AI459" s="38"/>
      <c r="AJ459" s="38"/>
    </row>
    <row r="460" spans="1:36" ht="15.75" customHeight="1" x14ac:dyDescent="0.2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  <c r="AA460" s="38"/>
      <c r="AB460" s="38"/>
      <c r="AC460" s="38"/>
      <c r="AD460" s="38"/>
      <c r="AE460" s="38"/>
      <c r="AF460" s="38"/>
      <c r="AG460" s="38"/>
      <c r="AH460" s="38"/>
      <c r="AI460" s="38"/>
      <c r="AJ460" s="38"/>
    </row>
    <row r="461" spans="1:36" ht="15.75" customHeight="1" x14ac:dyDescent="0.2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  <c r="AA461" s="38"/>
      <c r="AB461" s="38"/>
      <c r="AC461" s="38"/>
      <c r="AD461" s="38"/>
      <c r="AE461" s="38"/>
      <c r="AF461" s="38"/>
      <c r="AG461" s="38"/>
      <c r="AH461" s="38"/>
      <c r="AI461" s="38"/>
      <c r="AJ461" s="38"/>
    </row>
    <row r="462" spans="1:36" ht="15.75" customHeight="1" x14ac:dyDescent="0.2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  <c r="AA462" s="38"/>
      <c r="AB462" s="38"/>
      <c r="AC462" s="38"/>
      <c r="AD462" s="38"/>
      <c r="AE462" s="38"/>
      <c r="AF462" s="38"/>
      <c r="AG462" s="38"/>
      <c r="AH462" s="38"/>
      <c r="AI462" s="38"/>
      <c r="AJ462" s="38"/>
    </row>
    <row r="463" spans="1:36" ht="15.75" customHeight="1" x14ac:dyDescent="0.2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  <c r="AA463" s="38"/>
      <c r="AB463" s="38"/>
      <c r="AC463" s="38"/>
      <c r="AD463" s="38"/>
      <c r="AE463" s="38"/>
      <c r="AF463" s="38"/>
      <c r="AG463" s="38"/>
      <c r="AH463" s="38"/>
      <c r="AI463" s="38"/>
      <c r="AJ463" s="38"/>
    </row>
    <row r="464" spans="1:36" ht="15.75" customHeight="1" x14ac:dyDescent="0.2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  <c r="AA464" s="38"/>
      <c r="AB464" s="38"/>
      <c r="AC464" s="38"/>
      <c r="AD464" s="38"/>
      <c r="AE464" s="38"/>
      <c r="AF464" s="38"/>
      <c r="AG464" s="38"/>
      <c r="AH464" s="38"/>
      <c r="AI464" s="38"/>
      <c r="AJ464" s="38"/>
    </row>
    <row r="465" spans="1:36" ht="15.75" customHeight="1" x14ac:dyDescent="0.2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  <c r="AA465" s="38"/>
      <c r="AB465" s="38"/>
      <c r="AC465" s="38"/>
      <c r="AD465" s="38"/>
      <c r="AE465" s="38"/>
      <c r="AF465" s="38"/>
      <c r="AG465" s="38"/>
      <c r="AH465" s="38"/>
      <c r="AI465" s="38"/>
      <c r="AJ465" s="38"/>
    </row>
    <row r="466" spans="1:36" ht="15.75" customHeight="1" x14ac:dyDescent="0.2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  <c r="AA466" s="38"/>
      <c r="AB466" s="38"/>
      <c r="AC466" s="38"/>
      <c r="AD466" s="38"/>
      <c r="AE466" s="38"/>
      <c r="AF466" s="38"/>
      <c r="AG466" s="38"/>
      <c r="AH466" s="38"/>
      <c r="AI466" s="38"/>
      <c r="AJ466" s="38"/>
    </row>
    <row r="467" spans="1:36" ht="15.75" customHeight="1" x14ac:dyDescent="0.2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  <c r="AA467" s="38"/>
      <c r="AB467" s="38"/>
      <c r="AC467" s="38"/>
      <c r="AD467" s="38"/>
      <c r="AE467" s="38"/>
      <c r="AF467" s="38"/>
      <c r="AG467" s="38"/>
      <c r="AH467" s="38"/>
      <c r="AI467" s="38"/>
      <c r="AJ467" s="38"/>
    </row>
    <row r="468" spans="1:36" ht="15.75" customHeight="1" x14ac:dyDescent="0.2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  <c r="AA468" s="38"/>
      <c r="AB468" s="38"/>
      <c r="AC468" s="38"/>
      <c r="AD468" s="38"/>
      <c r="AE468" s="38"/>
      <c r="AF468" s="38"/>
      <c r="AG468" s="38"/>
      <c r="AH468" s="38"/>
      <c r="AI468" s="38"/>
      <c r="AJ468" s="38"/>
    </row>
    <row r="469" spans="1:36" ht="15.75" customHeight="1" x14ac:dyDescent="0.2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  <c r="AA469" s="38"/>
      <c r="AB469" s="38"/>
      <c r="AC469" s="38"/>
      <c r="AD469" s="38"/>
      <c r="AE469" s="38"/>
      <c r="AF469" s="38"/>
      <c r="AG469" s="38"/>
      <c r="AH469" s="38"/>
      <c r="AI469" s="38"/>
      <c r="AJ469" s="38"/>
    </row>
    <row r="470" spans="1:36" ht="15.75" customHeight="1" x14ac:dyDescent="0.2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  <c r="AA470" s="38"/>
      <c r="AB470" s="38"/>
      <c r="AC470" s="38"/>
      <c r="AD470" s="38"/>
      <c r="AE470" s="38"/>
      <c r="AF470" s="38"/>
      <c r="AG470" s="38"/>
      <c r="AH470" s="38"/>
      <c r="AI470" s="38"/>
      <c r="AJ470" s="38"/>
    </row>
    <row r="471" spans="1:36" ht="15.75" customHeight="1" x14ac:dyDescent="0.2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  <c r="AA471" s="38"/>
      <c r="AB471" s="38"/>
      <c r="AC471" s="38"/>
      <c r="AD471" s="38"/>
      <c r="AE471" s="38"/>
      <c r="AF471" s="38"/>
      <c r="AG471" s="38"/>
      <c r="AH471" s="38"/>
      <c r="AI471" s="38"/>
      <c r="AJ471" s="38"/>
    </row>
    <row r="472" spans="1:36" ht="15.75" customHeight="1" x14ac:dyDescent="0.2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  <c r="AA472" s="38"/>
      <c r="AB472" s="38"/>
      <c r="AC472" s="38"/>
      <c r="AD472" s="38"/>
      <c r="AE472" s="38"/>
      <c r="AF472" s="38"/>
      <c r="AG472" s="38"/>
      <c r="AH472" s="38"/>
      <c r="AI472" s="38"/>
      <c r="AJ472" s="38"/>
    </row>
    <row r="473" spans="1:36" ht="15.75" customHeight="1" x14ac:dyDescent="0.2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  <c r="AA473" s="38"/>
      <c r="AB473" s="38"/>
      <c r="AC473" s="38"/>
      <c r="AD473" s="38"/>
      <c r="AE473" s="38"/>
      <c r="AF473" s="38"/>
      <c r="AG473" s="38"/>
      <c r="AH473" s="38"/>
      <c r="AI473" s="38"/>
      <c r="AJ473" s="38"/>
    </row>
    <row r="474" spans="1:36" ht="15.75" customHeight="1" x14ac:dyDescent="0.2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  <c r="AA474" s="38"/>
      <c r="AB474" s="38"/>
      <c r="AC474" s="38"/>
      <c r="AD474" s="38"/>
      <c r="AE474" s="38"/>
      <c r="AF474" s="38"/>
      <c r="AG474" s="38"/>
      <c r="AH474" s="38"/>
      <c r="AI474" s="38"/>
      <c r="AJ474" s="38"/>
    </row>
    <row r="475" spans="1:36" ht="15.75" customHeight="1" x14ac:dyDescent="0.2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  <c r="AA475" s="38"/>
      <c r="AB475" s="38"/>
      <c r="AC475" s="38"/>
      <c r="AD475" s="38"/>
      <c r="AE475" s="38"/>
      <c r="AF475" s="38"/>
      <c r="AG475" s="38"/>
      <c r="AH475" s="38"/>
      <c r="AI475" s="38"/>
      <c r="AJ475" s="38"/>
    </row>
    <row r="476" spans="1:36" ht="15.75" customHeight="1" x14ac:dyDescent="0.2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  <c r="AA476" s="38"/>
      <c r="AB476" s="38"/>
      <c r="AC476" s="38"/>
      <c r="AD476" s="38"/>
      <c r="AE476" s="38"/>
      <c r="AF476" s="38"/>
      <c r="AG476" s="38"/>
      <c r="AH476" s="38"/>
      <c r="AI476" s="38"/>
      <c r="AJ476" s="38"/>
    </row>
    <row r="477" spans="1:36" ht="15.75" customHeight="1" x14ac:dyDescent="0.2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  <c r="AA477" s="38"/>
      <c r="AB477" s="38"/>
      <c r="AC477" s="38"/>
      <c r="AD477" s="38"/>
      <c r="AE477" s="38"/>
      <c r="AF477" s="38"/>
      <c r="AG477" s="38"/>
      <c r="AH477" s="38"/>
      <c r="AI477" s="38"/>
      <c r="AJ477" s="38"/>
    </row>
    <row r="478" spans="1:36" ht="15.75" customHeight="1" x14ac:dyDescent="0.2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  <c r="AA478" s="38"/>
      <c r="AB478" s="38"/>
      <c r="AC478" s="38"/>
      <c r="AD478" s="38"/>
      <c r="AE478" s="38"/>
      <c r="AF478" s="38"/>
      <c r="AG478" s="38"/>
      <c r="AH478" s="38"/>
      <c r="AI478" s="38"/>
      <c r="AJ478" s="38"/>
    </row>
    <row r="479" spans="1:36" ht="15.75" customHeight="1" x14ac:dyDescent="0.2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  <c r="AA479" s="38"/>
      <c r="AB479" s="38"/>
      <c r="AC479" s="38"/>
      <c r="AD479" s="38"/>
      <c r="AE479" s="38"/>
      <c r="AF479" s="38"/>
      <c r="AG479" s="38"/>
      <c r="AH479" s="38"/>
      <c r="AI479" s="38"/>
      <c r="AJ479" s="38"/>
    </row>
    <row r="480" spans="1:36" ht="15.75" customHeight="1" x14ac:dyDescent="0.2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  <c r="AA480" s="38"/>
      <c r="AB480" s="38"/>
      <c r="AC480" s="38"/>
      <c r="AD480" s="38"/>
      <c r="AE480" s="38"/>
      <c r="AF480" s="38"/>
      <c r="AG480" s="38"/>
      <c r="AH480" s="38"/>
      <c r="AI480" s="38"/>
      <c r="AJ480" s="38"/>
    </row>
    <row r="481" spans="1:36" ht="15.75" customHeight="1" x14ac:dyDescent="0.2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  <c r="AA481" s="38"/>
      <c r="AB481" s="38"/>
      <c r="AC481" s="38"/>
      <c r="AD481" s="38"/>
      <c r="AE481" s="38"/>
      <c r="AF481" s="38"/>
      <c r="AG481" s="38"/>
      <c r="AH481" s="38"/>
      <c r="AI481" s="38"/>
      <c r="AJ481" s="38"/>
    </row>
    <row r="482" spans="1:36" ht="15.75" customHeight="1" x14ac:dyDescent="0.2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  <c r="AA482" s="38"/>
      <c r="AB482" s="38"/>
      <c r="AC482" s="38"/>
      <c r="AD482" s="38"/>
      <c r="AE482" s="38"/>
      <c r="AF482" s="38"/>
      <c r="AG482" s="38"/>
      <c r="AH482" s="38"/>
      <c r="AI482" s="38"/>
      <c r="AJ482" s="38"/>
    </row>
    <row r="483" spans="1:36" ht="15.75" customHeight="1" x14ac:dyDescent="0.2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  <c r="AA483" s="38"/>
      <c r="AB483" s="38"/>
      <c r="AC483" s="38"/>
      <c r="AD483" s="38"/>
      <c r="AE483" s="38"/>
      <c r="AF483" s="38"/>
      <c r="AG483" s="38"/>
      <c r="AH483" s="38"/>
      <c r="AI483" s="38"/>
      <c r="AJ483" s="38"/>
    </row>
    <row r="484" spans="1:36" ht="15.75" customHeight="1" x14ac:dyDescent="0.2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  <c r="AA484" s="38"/>
      <c r="AB484" s="38"/>
      <c r="AC484" s="38"/>
      <c r="AD484" s="38"/>
      <c r="AE484" s="38"/>
      <c r="AF484" s="38"/>
      <c r="AG484" s="38"/>
      <c r="AH484" s="38"/>
      <c r="AI484" s="38"/>
      <c r="AJ484" s="38"/>
    </row>
    <row r="485" spans="1:36" ht="15.75" customHeight="1" x14ac:dyDescent="0.2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  <c r="AA485" s="38"/>
      <c r="AB485" s="38"/>
      <c r="AC485" s="38"/>
      <c r="AD485" s="38"/>
      <c r="AE485" s="38"/>
      <c r="AF485" s="38"/>
      <c r="AG485" s="38"/>
      <c r="AH485" s="38"/>
      <c r="AI485" s="38"/>
      <c r="AJ485" s="38"/>
    </row>
    <row r="486" spans="1:36" ht="15.75" customHeight="1" x14ac:dyDescent="0.2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  <c r="AA486" s="38"/>
      <c r="AB486" s="38"/>
      <c r="AC486" s="38"/>
      <c r="AD486" s="38"/>
      <c r="AE486" s="38"/>
      <c r="AF486" s="38"/>
      <c r="AG486" s="38"/>
      <c r="AH486" s="38"/>
      <c r="AI486" s="38"/>
      <c r="AJ486" s="38"/>
    </row>
    <row r="487" spans="1:36" ht="15.75" customHeight="1" x14ac:dyDescent="0.2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  <c r="AA487" s="38"/>
      <c r="AB487" s="38"/>
      <c r="AC487" s="38"/>
      <c r="AD487" s="38"/>
      <c r="AE487" s="38"/>
      <c r="AF487" s="38"/>
      <c r="AG487" s="38"/>
      <c r="AH487" s="38"/>
      <c r="AI487" s="38"/>
      <c r="AJ487" s="38"/>
    </row>
    <row r="488" spans="1:36" ht="15.75" customHeight="1" x14ac:dyDescent="0.2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  <c r="AA488" s="38"/>
      <c r="AB488" s="38"/>
      <c r="AC488" s="38"/>
      <c r="AD488" s="38"/>
      <c r="AE488" s="38"/>
      <c r="AF488" s="38"/>
      <c r="AG488" s="38"/>
      <c r="AH488" s="38"/>
      <c r="AI488" s="38"/>
      <c r="AJ488" s="38"/>
    </row>
    <row r="489" spans="1:36" ht="15.75" customHeight="1" x14ac:dyDescent="0.2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  <c r="AA489" s="38"/>
      <c r="AB489" s="38"/>
      <c r="AC489" s="38"/>
      <c r="AD489" s="38"/>
      <c r="AE489" s="38"/>
      <c r="AF489" s="38"/>
      <c r="AG489" s="38"/>
      <c r="AH489" s="38"/>
      <c r="AI489" s="38"/>
      <c r="AJ489" s="38"/>
    </row>
    <row r="490" spans="1:36" ht="15.75" customHeight="1" x14ac:dyDescent="0.2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  <c r="AA490" s="38"/>
      <c r="AB490" s="38"/>
      <c r="AC490" s="38"/>
      <c r="AD490" s="38"/>
      <c r="AE490" s="38"/>
      <c r="AF490" s="38"/>
      <c r="AG490" s="38"/>
      <c r="AH490" s="38"/>
      <c r="AI490" s="38"/>
      <c r="AJ490" s="38"/>
    </row>
    <row r="491" spans="1:36" ht="15.75" customHeight="1" x14ac:dyDescent="0.2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  <c r="AA491" s="38"/>
      <c r="AB491" s="38"/>
      <c r="AC491" s="38"/>
      <c r="AD491" s="38"/>
      <c r="AE491" s="38"/>
      <c r="AF491" s="38"/>
      <c r="AG491" s="38"/>
      <c r="AH491" s="38"/>
      <c r="AI491" s="38"/>
      <c r="AJ491" s="38"/>
    </row>
    <row r="492" spans="1:36" ht="15.75" customHeight="1" x14ac:dyDescent="0.2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  <c r="AA492" s="38"/>
      <c r="AB492" s="38"/>
      <c r="AC492" s="38"/>
      <c r="AD492" s="38"/>
      <c r="AE492" s="38"/>
      <c r="AF492" s="38"/>
      <c r="AG492" s="38"/>
      <c r="AH492" s="38"/>
      <c r="AI492" s="38"/>
      <c r="AJ492" s="38"/>
    </row>
    <row r="493" spans="1:36" ht="15.75" customHeight="1" x14ac:dyDescent="0.2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  <c r="AA493" s="38"/>
      <c r="AB493" s="38"/>
      <c r="AC493" s="38"/>
      <c r="AD493" s="38"/>
      <c r="AE493" s="38"/>
      <c r="AF493" s="38"/>
      <c r="AG493" s="38"/>
      <c r="AH493" s="38"/>
      <c r="AI493" s="38"/>
      <c r="AJ493" s="38"/>
    </row>
    <row r="494" spans="1:36" ht="15.75" customHeight="1" x14ac:dyDescent="0.2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  <c r="AA494" s="38"/>
      <c r="AB494" s="38"/>
      <c r="AC494" s="38"/>
      <c r="AD494" s="38"/>
      <c r="AE494" s="38"/>
      <c r="AF494" s="38"/>
      <c r="AG494" s="38"/>
      <c r="AH494" s="38"/>
      <c r="AI494" s="38"/>
      <c r="AJ494" s="38"/>
    </row>
    <row r="495" spans="1:36" ht="15.75" customHeight="1" x14ac:dyDescent="0.2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  <c r="AA495" s="38"/>
      <c r="AB495" s="38"/>
      <c r="AC495" s="38"/>
      <c r="AD495" s="38"/>
      <c r="AE495" s="38"/>
      <c r="AF495" s="38"/>
      <c r="AG495" s="38"/>
      <c r="AH495" s="38"/>
      <c r="AI495" s="38"/>
      <c r="AJ495" s="38"/>
    </row>
    <row r="496" spans="1:36" ht="15.75" customHeight="1" x14ac:dyDescent="0.2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  <c r="AA496" s="38"/>
      <c r="AB496" s="38"/>
      <c r="AC496" s="38"/>
      <c r="AD496" s="38"/>
      <c r="AE496" s="38"/>
      <c r="AF496" s="38"/>
      <c r="AG496" s="38"/>
      <c r="AH496" s="38"/>
      <c r="AI496" s="38"/>
      <c r="AJ496" s="38"/>
    </row>
    <row r="497" spans="1:36" ht="15.75" customHeight="1" x14ac:dyDescent="0.2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  <c r="AA497" s="38"/>
      <c r="AB497" s="38"/>
      <c r="AC497" s="38"/>
      <c r="AD497" s="38"/>
      <c r="AE497" s="38"/>
      <c r="AF497" s="38"/>
      <c r="AG497" s="38"/>
      <c r="AH497" s="38"/>
      <c r="AI497" s="38"/>
      <c r="AJ497" s="38"/>
    </row>
    <row r="498" spans="1:36" ht="15.75" customHeight="1" x14ac:dyDescent="0.2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  <c r="AA498" s="38"/>
      <c r="AB498" s="38"/>
      <c r="AC498" s="38"/>
      <c r="AD498" s="38"/>
      <c r="AE498" s="38"/>
      <c r="AF498" s="38"/>
      <c r="AG498" s="38"/>
      <c r="AH498" s="38"/>
      <c r="AI498" s="38"/>
      <c r="AJ498" s="38"/>
    </row>
    <row r="499" spans="1:36" ht="15.75" customHeight="1" x14ac:dyDescent="0.2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  <c r="AA499" s="38"/>
      <c r="AB499" s="38"/>
      <c r="AC499" s="38"/>
      <c r="AD499" s="38"/>
      <c r="AE499" s="38"/>
      <c r="AF499" s="38"/>
      <c r="AG499" s="38"/>
      <c r="AH499" s="38"/>
      <c r="AI499" s="38"/>
      <c r="AJ499" s="38"/>
    </row>
    <row r="500" spans="1:36" ht="15.75" customHeight="1" x14ac:dyDescent="0.2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  <c r="AA500" s="38"/>
      <c r="AB500" s="38"/>
      <c r="AC500" s="38"/>
      <c r="AD500" s="38"/>
      <c r="AE500" s="38"/>
      <c r="AF500" s="38"/>
      <c r="AG500" s="38"/>
      <c r="AH500" s="38"/>
      <c r="AI500" s="38"/>
      <c r="AJ500" s="38"/>
    </row>
    <row r="501" spans="1:36" ht="15.75" customHeight="1" x14ac:dyDescent="0.2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  <c r="AA501" s="38"/>
      <c r="AB501" s="38"/>
      <c r="AC501" s="38"/>
      <c r="AD501" s="38"/>
      <c r="AE501" s="38"/>
      <c r="AF501" s="38"/>
      <c r="AG501" s="38"/>
      <c r="AH501" s="38"/>
      <c r="AI501" s="38"/>
      <c r="AJ501" s="38"/>
    </row>
    <row r="502" spans="1:36" ht="15.75" customHeight="1" x14ac:dyDescent="0.2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  <c r="AA502" s="38"/>
      <c r="AB502" s="38"/>
      <c r="AC502" s="38"/>
      <c r="AD502" s="38"/>
      <c r="AE502" s="38"/>
      <c r="AF502" s="38"/>
      <c r="AG502" s="38"/>
      <c r="AH502" s="38"/>
      <c r="AI502" s="38"/>
      <c r="AJ502" s="38"/>
    </row>
    <row r="503" spans="1:36" ht="15.75" customHeight="1" x14ac:dyDescent="0.2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  <c r="AA503" s="38"/>
      <c r="AB503" s="38"/>
      <c r="AC503" s="38"/>
      <c r="AD503" s="38"/>
      <c r="AE503" s="38"/>
      <c r="AF503" s="38"/>
      <c r="AG503" s="38"/>
      <c r="AH503" s="38"/>
      <c r="AI503" s="38"/>
      <c r="AJ503" s="38"/>
    </row>
    <row r="504" spans="1:36" ht="15.75" customHeight="1" x14ac:dyDescent="0.2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  <c r="AA504" s="38"/>
      <c r="AB504" s="38"/>
      <c r="AC504" s="38"/>
      <c r="AD504" s="38"/>
      <c r="AE504" s="38"/>
      <c r="AF504" s="38"/>
      <c r="AG504" s="38"/>
      <c r="AH504" s="38"/>
      <c r="AI504" s="38"/>
      <c r="AJ504" s="38"/>
    </row>
    <row r="505" spans="1:36" ht="15.75" customHeight="1" x14ac:dyDescent="0.2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  <c r="AA505" s="38"/>
      <c r="AB505" s="38"/>
      <c r="AC505" s="38"/>
      <c r="AD505" s="38"/>
      <c r="AE505" s="38"/>
      <c r="AF505" s="38"/>
      <c r="AG505" s="38"/>
      <c r="AH505" s="38"/>
      <c r="AI505" s="38"/>
      <c r="AJ505" s="38"/>
    </row>
    <row r="506" spans="1:36" ht="15.75" customHeight="1" x14ac:dyDescent="0.2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  <c r="AA506" s="38"/>
      <c r="AB506" s="38"/>
      <c r="AC506" s="38"/>
      <c r="AD506" s="38"/>
      <c r="AE506" s="38"/>
      <c r="AF506" s="38"/>
      <c r="AG506" s="38"/>
      <c r="AH506" s="38"/>
      <c r="AI506" s="38"/>
      <c r="AJ506" s="38"/>
    </row>
    <row r="507" spans="1:36" ht="15.75" customHeight="1" x14ac:dyDescent="0.2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  <c r="AA507" s="38"/>
      <c r="AB507" s="38"/>
      <c r="AC507" s="38"/>
      <c r="AD507" s="38"/>
      <c r="AE507" s="38"/>
      <c r="AF507" s="38"/>
      <c r="AG507" s="38"/>
      <c r="AH507" s="38"/>
      <c r="AI507" s="38"/>
      <c r="AJ507" s="38"/>
    </row>
    <row r="508" spans="1:36" ht="15.75" customHeight="1" x14ac:dyDescent="0.2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  <c r="AA508" s="38"/>
      <c r="AB508" s="38"/>
      <c r="AC508" s="38"/>
      <c r="AD508" s="38"/>
      <c r="AE508" s="38"/>
      <c r="AF508" s="38"/>
      <c r="AG508" s="38"/>
      <c r="AH508" s="38"/>
      <c r="AI508" s="38"/>
      <c r="AJ508" s="38"/>
    </row>
    <row r="509" spans="1:36" ht="15.75" customHeight="1" x14ac:dyDescent="0.2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  <c r="AA509" s="38"/>
      <c r="AB509" s="38"/>
      <c r="AC509" s="38"/>
      <c r="AD509" s="38"/>
      <c r="AE509" s="38"/>
      <c r="AF509" s="38"/>
      <c r="AG509" s="38"/>
      <c r="AH509" s="38"/>
      <c r="AI509" s="38"/>
      <c r="AJ509" s="38"/>
    </row>
    <row r="510" spans="1:36" ht="15.75" customHeight="1" x14ac:dyDescent="0.2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  <c r="AA510" s="38"/>
      <c r="AB510" s="38"/>
      <c r="AC510" s="38"/>
      <c r="AD510" s="38"/>
      <c r="AE510" s="38"/>
      <c r="AF510" s="38"/>
      <c r="AG510" s="38"/>
      <c r="AH510" s="38"/>
      <c r="AI510" s="38"/>
      <c r="AJ510" s="38"/>
    </row>
    <row r="511" spans="1:36" ht="15.75" customHeight="1" x14ac:dyDescent="0.2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  <c r="AA511" s="38"/>
      <c r="AB511" s="38"/>
      <c r="AC511" s="38"/>
      <c r="AD511" s="38"/>
      <c r="AE511" s="38"/>
      <c r="AF511" s="38"/>
      <c r="AG511" s="38"/>
      <c r="AH511" s="38"/>
      <c r="AI511" s="38"/>
      <c r="AJ511" s="38"/>
    </row>
    <row r="512" spans="1:36" ht="15.75" customHeight="1" x14ac:dyDescent="0.2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  <c r="AA512" s="38"/>
      <c r="AB512" s="38"/>
      <c r="AC512" s="38"/>
      <c r="AD512" s="38"/>
      <c r="AE512" s="38"/>
      <c r="AF512" s="38"/>
      <c r="AG512" s="38"/>
      <c r="AH512" s="38"/>
      <c r="AI512" s="38"/>
      <c r="AJ512" s="38"/>
    </row>
    <row r="513" spans="1:36" ht="15.75" customHeight="1" x14ac:dyDescent="0.2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  <c r="AA513" s="38"/>
      <c r="AB513" s="38"/>
      <c r="AC513" s="38"/>
      <c r="AD513" s="38"/>
      <c r="AE513" s="38"/>
      <c r="AF513" s="38"/>
      <c r="AG513" s="38"/>
      <c r="AH513" s="38"/>
      <c r="AI513" s="38"/>
      <c r="AJ513" s="38"/>
    </row>
    <row r="514" spans="1:36" ht="15.75" customHeight="1" x14ac:dyDescent="0.2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  <c r="AA514" s="38"/>
      <c r="AB514" s="38"/>
      <c r="AC514" s="38"/>
      <c r="AD514" s="38"/>
      <c r="AE514" s="38"/>
      <c r="AF514" s="38"/>
      <c r="AG514" s="38"/>
      <c r="AH514" s="38"/>
      <c r="AI514" s="38"/>
      <c r="AJ514" s="38"/>
    </row>
    <row r="515" spans="1:36" ht="15.75" customHeight="1" x14ac:dyDescent="0.2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  <c r="AA515" s="38"/>
      <c r="AB515" s="38"/>
      <c r="AC515" s="38"/>
      <c r="AD515" s="38"/>
      <c r="AE515" s="38"/>
      <c r="AF515" s="38"/>
      <c r="AG515" s="38"/>
      <c r="AH515" s="38"/>
      <c r="AI515" s="38"/>
      <c r="AJ515" s="38"/>
    </row>
    <row r="516" spans="1:36" ht="15.75" customHeight="1" x14ac:dyDescent="0.2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  <c r="AA516" s="38"/>
      <c r="AB516" s="38"/>
      <c r="AC516" s="38"/>
      <c r="AD516" s="38"/>
      <c r="AE516" s="38"/>
      <c r="AF516" s="38"/>
      <c r="AG516" s="38"/>
      <c r="AH516" s="38"/>
      <c r="AI516" s="38"/>
      <c r="AJ516" s="38"/>
    </row>
    <row r="517" spans="1:36" ht="15.75" customHeight="1" x14ac:dyDescent="0.2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  <c r="AA517" s="38"/>
      <c r="AB517" s="38"/>
      <c r="AC517" s="38"/>
      <c r="AD517" s="38"/>
      <c r="AE517" s="38"/>
      <c r="AF517" s="38"/>
      <c r="AG517" s="38"/>
      <c r="AH517" s="38"/>
      <c r="AI517" s="38"/>
      <c r="AJ517" s="38"/>
    </row>
    <row r="518" spans="1:36" ht="15.75" customHeight="1" x14ac:dyDescent="0.2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  <c r="AA518" s="38"/>
      <c r="AB518" s="38"/>
      <c r="AC518" s="38"/>
      <c r="AD518" s="38"/>
      <c r="AE518" s="38"/>
      <c r="AF518" s="38"/>
      <c r="AG518" s="38"/>
      <c r="AH518" s="38"/>
      <c r="AI518" s="38"/>
      <c r="AJ518" s="38"/>
    </row>
    <row r="519" spans="1:36" ht="15.75" customHeight="1" x14ac:dyDescent="0.2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  <c r="AA519" s="38"/>
      <c r="AB519" s="38"/>
      <c r="AC519" s="38"/>
      <c r="AD519" s="38"/>
      <c r="AE519" s="38"/>
      <c r="AF519" s="38"/>
      <c r="AG519" s="38"/>
      <c r="AH519" s="38"/>
      <c r="AI519" s="38"/>
      <c r="AJ519" s="38"/>
    </row>
    <row r="520" spans="1:36" ht="15.75" customHeight="1" x14ac:dyDescent="0.2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  <c r="AA520" s="38"/>
      <c r="AB520" s="38"/>
      <c r="AC520" s="38"/>
      <c r="AD520" s="38"/>
      <c r="AE520" s="38"/>
      <c r="AF520" s="38"/>
      <c r="AG520" s="38"/>
      <c r="AH520" s="38"/>
      <c r="AI520" s="38"/>
      <c r="AJ520" s="38"/>
    </row>
    <row r="521" spans="1:36" ht="15.75" customHeight="1" x14ac:dyDescent="0.2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  <c r="AA521" s="38"/>
      <c r="AB521" s="38"/>
      <c r="AC521" s="38"/>
      <c r="AD521" s="38"/>
      <c r="AE521" s="38"/>
      <c r="AF521" s="38"/>
      <c r="AG521" s="38"/>
      <c r="AH521" s="38"/>
      <c r="AI521" s="38"/>
      <c r="AJ521" s="38"/>
    </row>
    <row r="522" spans="1:36" ht="15.75" customHeight="1" x14ac:dyDescent="0.2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  <c r="AA522" s="38"/>
      <c r="AB522" s="38"/>
      <c r="AC522" s="38"/>
      <c r="AD522" s="38"/>
      <c r="AE522" s="38"/>
      <c r="AF522" s="38"/>
      <c r="AG522" s="38"/>
      <c r="AH522" s="38"/>
      <c r="AI522" s="38"/>
      <c r="AJ522" s="38"/>
    </row>
    <row r="523" spans="1:36" ht="15.75" customHeight="1" x14ac:dyDescent="0.2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  <c r="AA523" s="38"/>
      <c r="AB523" s="38"/>
      <c r="AC523" s="38"/>
      <c r="AD523" s="38"/>
      <c r="AE523" s="38"/>
      <c r="AF523" s="38"/>
      <c r="AG523" s="38"/>
      <c r="AH523" s="38"/>
      <c r="AI523" s="38"/>
      <c r="AJ523" s="38"/>
    </row>
    <row r="524" spans="1:36" ht="15.75" customHeight="1" x14ac:dyDescent="0.2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  <c r="AA524" s="38"/>
      <c r="AB524" s="38"/>
      <c r="AC524" s="38"/>
      <c r="AD524" s="38"/>
      <c r="AE524" s="38"/>
      <c r="AF524" s="38"/>
      <c r="AG524" s="38"/>
      <c r="AH524" s="38"/>
      <c r="AI524" s="38"/>
      <c r="AJ524" s="38"/>
    </row>
    <row r="525" spans="1:36" ht="15.75" customHeight="1" x14ac:dyDescent="0.2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  <c r="AA525" s="38"/>
      <c r="AB525" s="38"/>
      <c r="AC525" s="38"/>
      <c r="AD525" s="38"/>
      <c r="AE525" s="38"/>
      <c r="AF525" s="38"/>
      <c r="AG525" s="38"/>
      <c r="AH525" s="38"/>
      <c r="AI525" s="38"/>
      <c r="AJ525" s="38"/>
    </row>
    <row r="526" spans="1:36" ht="15.75" customHeight="1" x14ac:dyDescent="0.2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  <c r="AA526" s="38"/>
      <c r="AB526" s="38"/>
      <c r="AC526" s="38"/>
      <c r="AD526" s="38"/>
      <c r="AE526" s="38"/>
      <c r="AF526" s="38"/>
      <c r="AG526" s="38"/>
      <c r="AH526" s="38"/>
      <c r="AI526" s="38"/>
      <c r="AJ526" s="38"/>
    </row>
    <row r="527" spans="1:36" ht="15.75" customHeight="1" x14ac:dyDescent="0.2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  <c r="AA527" s="38"/>
      <c r="AB527" s="38"/>
      <c r="AC527" s="38"/>
      <c r="AD527" s="38"/>
      <c r="AE527" s="38"/>
      <c r="AF527" s="38"/>
      <c r="AG527" s="38"/>
      <c r="AH527" s="38"/>
      <c r="AI527" s="38"/>
      <c r="AJ527" s="38"/>
    </row>
    <row r="528" spans="1:36" ht="15.75" customHeight="1" x14ac:dyDescent="0.2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  <c r="AA528" s="38"/>
      <c r="AB528" s="38"/>
      <c r="AC528" s="38"/>
      <c r="AD528" s="38"/>
      <c r="AE528" s="38"/>
      <c r="AF528" s="38"/>
      <c r="AG528" s="38"/>
      <c r="AH528" s="38"/>
      <c r="AI528" s="38"/>
      <c r="AJ528" s="38"/>
    </row>
    <row r="529" spans="1:36" ht="15.75" customHeight="1" x14ac:dyDescent="0.2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  <c r="AA529" s="38"/>
      <c r="AB529" s="38"/>
      <c r="AC529" s="38"/>
      <c r="AD529" s="38"/>
      <c r="AE529" s="38"/>
      <c r="AF529" s="38"/>
      <c r="AG529" s="38"/>
      <c r="AH529" s="38"/>
      <c r="AI529" s="38"/>
      <c r="AJ529" s="38"/>
    </row>
    <row r="530" spans="1:36" ht="15.75" customHeight="1" x14ac:dyDescent="0.2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  <c r="AA530" s="38"/>
      <c r="AB530" s="38"/>
      <c r="AC530" s="38"/>
      <c r="AD530" s="38"/>
      <c r="AE530" s="38"/>
      <c r="AF530" s="38"/>
      <c r="AG530" s="38"/>
      <c r="AH530" s="38"/>
      <c r="AI530" s="38"/>
      <c r="AJ530" s="38"/>
    </row>
    <row r="531" spans="1:36" ht="15.75" customHeight="1" x14ac:dyDescent="0.2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  <c r="AA531" s="38"/>
      <c r="AB531" s="38"/>
      <c r="AC531" s="38"/>
      <c r="AD531" s="38"/>
      <c r="AE531" s="38"/>
      <c r="AF531" s="38"/>
      <c r="AG531" s="38"/>
      <c r="AH531" s="38"/>
      <c r="AI531" s="38"/>
      <c r="AJ531" s="38"/>
    </row>
    <row r="532" spans="1:36" ht="15.75" customHeight="1" x14ac:dyDescent="0.2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  <c r="AA532" s="38"/>
      <c r="AB532" s="38"/>
      <c r="AC532" s="38"/>
      <c r="AD532" s="38"/>
      <c r="AE532" s="38"/>
      <c r="AF532" s="38"/>
      <c r="AG532" s="38"/>
      <c r="AH532" s="38"/>
      <c r="AI532" s="38"/>
      <c r="AJ532" s="38"/>
    </row>
    <row r="533" spans="1:36" ht="15.75" customHeight="1" x14ac:dyDescent="0.2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  <c r="AA533" s="38"/>
      <c r="AB533" s="38"/>
      <c r="AC533" s="38"/>
      <c r="AD533" s="38"/>
      <c r="AE533" s="38"/>
      <c r="AF533" s="38"/>
      <c r="AG533" s="38"/>
      <c r="AH533" s="38"/>
      <c r="AI533" s="38"/>
      <c r="AJ533" s="38"/>
    </row>
    <row r="534" spans="1:36" ht="15.75" customHeight="1" x14ac:dyDescent="0.2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  <c r="AA534" s="38"/>
      <c r="AB534" s="38"/>
      <c r="AC534" s="38"/>
      <c r="AD534" s="38"/>
      <c r="AE534" s="38"/>
      <c r="AF534" s="38"/>
      <c r="AG534" s="38"/>
      <c r="AH534" s="38"/>
      <c r="AI534" s="38"/>
      <c r="AJ534" s="38"/>
    </row>
    <row r="535" spans="1:36" ht="15.75" customHeight="1" x14ac:dyDescent="0.2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  <c r="AA535" s="38"/>
      <c r="AB535" s="38"/>
      <c r="AC535" s="38"/>
      <c r="AD535" s="38"/>
      <c r="AE535" s="38"/>
      <c r="AF535" s="38"/>
      <c r="AG535" s="38"/>
      <c r="AH535" s="38"/>
      <c r="AI535" s="38"/>
      <c r="AJ535" s="38"/>
    </row>
    <row r="536" spans="1:36" ht="15.75" customHeight="1" x14ac:dyDescent="0.2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  <c r="AA536" s="38"/>
      <c r="AB536" s="38"/>
      <c r="AC536" s="38"/>
      <c r="AD536" s="38"/>
      <c r="AE536" s="38"/>
      <c r="AF536" s="38"/>
      <c r="AG536" s="38"/>
      <c r="AH536" s="38"/>
      <c r="AI536" s="38"/>
      <c r="AJ536" s="38"/>
    </row>
    <row r="537" spans="1:36" ht="15.75" customHeight="1" x14ac:dyDescent="0.2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  <c r="AA537" s="38"/>
      <c r="AB537" s="38"/>
      <c r="AC537" s="38"/>
      <c r="AD537" s="38"/>
      <c r="AE537" s="38"/>
      <c r="AF537" s="38"/>
      <c r="AG537" s="38"/>
      <c r="AH537" s="38"/>
      <c r="AI537" s="38"/>
      <c r="AJ537" s="38"/>
    </row>
    <row r="538" spans="1:36" ht="15.75" customHeight="1" x14ac:dyDescent="0.2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  <c r="AA538" s="38"/>
      <c r="AB538" s="38"/>
      <c r="AC538" s="38"/>
      <c r="AD538" s="38"/>
      <c r="AE538" s="38"/>
      <c r="AF538" s="38"/>
      <c r="AG538" s="38"/>
      <c r="AH538" s="38"/>
      <c r="AI538" s="38"/>
      <c r="AJ538" s="38"/>
    </row>
    <row r="539" spans="1:36" ht="15.75" customHeight="1" x14ac:dyDescent="0.2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  <c r="AA539" s="38"/>
      <c r="AB539" s="38"/>
      <c r="AC539" s="38"/>
      <c r="AD539" s="38"/>
      <c r="AE539" s="38"/>
      <c r="AF539" s="38"/>
      <c r="AG539" s="38"/>
      <c r="AH539" s="38"/>
      <c r="AI539" s="38"/>
      <c r="AJ539" s="38"/>
    </row>
    <row r="540" spans="1:36" ht="15.75" customHeight="1" x14ac:dyDescent="0.2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  <c r="AA540" s="38"/>
      <c r="AB540" s="38"/>
      <c r="AC540" s="38"/>
      <c r="AD540" s="38"/>
      <c r="AE540" s="38"/>
      <c r="AF540" s="38"/>
      <c r="AG540" s="38"/>
      <c r="AH540" s="38"/>
      <c r="AI540" s="38"/>
      <c r="AJ540" s="38"/>
    </row>
    <row r="541" spans="1:36" ht="15.75" customHeight="1" x14ac:dyDescent="0.2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  <c r="AA541" s="38"/>
      <c r="AB541" s="38"/>
      <c r="AC541" s="38"/>
      <c r="AD541" s="38"/>
      <c r="AE541" s="38"/>
      <c r="AF541" s="38"/>
      <c r="AG541" s="38"/>
      <c r="AH541" s="38"/>
      <c r="AI541" s="38"/>
      <c r="AJ541" s="38"/>
    </row>
    <row r="542" spans="1:36" ht="15.75" customHeight="1" x14ac:dyDescent="0.2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  <c r="AA542" s="38"/>
      <c r="AB542" s="38"/>
      <c r="AC542" s="38"/>
      <c r="AD542" s="38"/>
      <c r="AE542" s="38"/>
      <c r="AF542" s="38"/>
      <c r="AG542" s="38"/>
      <c r="AH542" s="38"/>
      <c r="AI542" s="38"/>
      <c r="AJ542" s="38"/>
    </row>
    <row r="543" spans="1:36" ht="15.75" customHeight="1" x14ac:dyDescent="0.2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  <c r="AA543" s="38"/>
      <c r="AB543" s="38"/>
      <c r="AC543" s="38"/>
      <c r="AD543" s="38"/>
      <c r="AE543" s="38"/>
      <c r="AF543" s="38"/>
      <c r="AG543" s="38"/>
      <c r="AH543" s="38"/>
      <c r="AI543" s="38"/>
      <c r="AJ543" s="38"/>
    </row>
    <row r="544" spans="1:36" ht="15.75" customHeight="1" x14ac:dyDescent="0.2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  <c r="AA544" s="38"/>
      <c r="AB544" s="38"/>
      <c r="AC544" s="38"/>
      <c r="AD544" s="38"/>
      <c r="AE544" s="38"/>
      <c r="AF544" s="38"/>
      <c r="AG544" s="38"/>
      <c r="AH544" s="38"/>
      <c r="AI544" s="38"/>
      <c r="AJ544" s="38"/>
    </row>
    <row r="545" spans="1:36" ht="15.75" customHeight="1" x14ac:dyDescent="0.2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  <c r="AA545" s="38"/>
      <c r="AB545" s="38"/>
      <c r="AC545" s="38"/>
      <c r="AD545" s="38"/>
      <c r="AE545" s="38"/>
      <c r="AF545" s="38"/>
      <c r="AG545" s="38"/>
      <c r="AH545" s="38"/>
      <c r="AI545" s="38"/>
      <c r="AJ545" s="38"/>
    </row>
    <row r="546" spans="1:36" ht="15.75" customHeight="1" x14ac:dyDescent="0.2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  <c r="AA546" s="38"/>
      <c r="AB546" s="38"/>
      <c r="AC546" s="38"/>
      <c r="AD546" s="38"/>
      <c r="AE546" s="38"/>
      <c r="AF546" s="38"/>
      <c r="AG546" s="38"/>
      <c r="AH546" s="38"/>
      <c r="AI546" s="38"/>
      <c r="AJ546" s="38"/>
    </row>
    <row r="547" spans="1:36" ht="15.75" customHeight="1" x14ac:dyDescent="0.2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  <c r="AA547" s="38"/>
      <c r="AB547" s="38"/>
      <c r="AC547" s="38"/>
      <c r="AD547" s="38"/>
      <c r="AE547" s="38"/>
      <c r="AF547" s="38"/>
      <c r="AG547" s="38"/>
      <c r="AH547" s="38"/>
      <c r="AI547" s="38"/>
      <c r="AJ547" s="38"/>
    </row>
    <row r="548" spans="1:36" ht="15.75" customHeight="1" x14ac:dyDescent="0.2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  <c r="AA548" s="38"/>
      <c r="AB548" s="38"/>
      <c r="AC548" s="38"/>
      <c r="AD548" s="38"/>
      <c r="AE548" s="38"/>
      <c r="AF548" s="38"/>
      <c r="AG548" s="38"/>
      <c r="AH548" s="38"/>
      <c r="AI548" s="38"/>
      <c r="AJ548" s="38"/>
    </row>
    <row r="549" spans="1:36" ht="15.75" customHeight="1" x14ac:dyDescent="0.2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  <c r="AA549" s="38"/>
      <c r="AB549" s="38"/>
      <c r="AC549" s="38"/>
      <c r="AD549" s="38"/>
      <c r="AE549" s="38"/>
      <c r="AF549" s="38"/>
      <c r="AG549" s="38"/>
      <c r="AH549" s="38"/>
      <c r="AI549" s="38"/>
      <c r="AJ549" s="38"/>
    </row>
    <row r="550" spans="1:36" ht="15.75" customHeight="1" x14ac:dyDescent="0.2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  <c r="AA550" s="38"/>
      <c r="AB550" s="38"/>
      <c r="AC550" s="38"/>
      <c r="AD550" s="38"/>
      <c r="AE550" s="38"/>
      <c r="AF550" s="38"/>
      <c r="AG550" s="38"/>
      <c r="AH550" s="38"/>
      <c r="AI550" s="38"/>
      <c r="AJ550" s="38"/>
    </row>
    <row r="551" spans="1:36" ht="15.75" customHeight="1" x14ac:dyDescent="0.2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  <c r="AA551" s="38"/>
      <c r="AB551" s="38"/>
      <c r="AC551" s="38"/>
      <c r="AD551" s="38"/>
      <c r="AE551" s="38"/>
      <c r="AF551" s="38"/>
      <c r="AG551" s="38"/>
      <c r="AH551" s="38"/>
      <c r="AI551" s="38"/>
      <c r="AJ551" s="38"/>
    </row>
    <row r="552" spans="1:36" ht="15.75" customHeight="1" x14ac:dyDescent="0.2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  <c r="AA552" s="38"/>
      <c r="AB552" s="38"/>
      <c r="AC552" s="38"/>
      <c r="AD552" s="38"/>
      <c r="AE552" s="38"/>
      <c r="AF552" s="38"/>
      <c r="AG552" s="38"/>
      <c r="AH552" s="38"/>
      <c r="AI552" s="38"/>
      <c r="AJ552" s="38"/>
    </row>
    <row r="553" spans="1:36" ht="15.75" customHeight="1" x14ac:dyDescent="0.2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  <c r="AA553" s="38"/>
      <c r="AB553" s="38"/>
      <c r="AC553" s="38"/>
      <c r="AD553" s="38"/>
      <c r="AE553" s="38"/>
      <c r="AF553" s="38"/>
      <c r="AG553" s="38"/>
      <c r="AH553" s="38"/>
      <c r="AI553" s="38"/>
      <c r="AJ553" s="38"/>
    </row>
    <row r="554" spans="1:36" ht="15.75" customHeight="1" x14ac:dyDescent="0.2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  <c r="AA554" s="38"/>
      <c r="AB554" s="38"/>
      <c r="AC554" s="38"/>
      <c r="AD554" s="38"/>
      <c r="AE554" s="38"/>
      <c r="AF554" s="38"/>
      <c r="AG554" s="38"/>
      <c r="AH554" s="38"/>
      <c r="AI554" s="38"/>
      <c r="AJ554" s="38"/>
    </row>
    <row r="555" spans="1:36" ht="15.75" customHeight="1" x14ac:dyDescent="0.2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  <c r="AA555" s="38"/>
      <c r="AB555" s="38"/>
      <c r="AC555" s="38"/>
      <c r="AD555" s="38"/>
      <c r="AE555" s="38"/>
      <c r="AF555" s="38"/>
      <c r="AG555" s="38"/>
      <c r="AH555" s="38"/>
      <c r="AI555" s="38"/>
      <c r="AJ555" s="38"/>
    </row>
    <row r="556" spans="1:36" ht="15.75" customHeight="1" x14ac:dyDescent="0.2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  <c r="AA556" s="38"/>
      <c r="AB556" s="38"/>
      <c r="AC556" s="38"/>
      <c r="AD556" s="38"/>
      <c r="AE556" s="38"/>
      <c r="AF556" s="38"/>
      <c r="AG556" s="38"/>
      <c r="AH556" s="38"/>
      <c r="AI556" s="38"/>
      <c r="AJ556" s="38"/>
    </row>
    <row r="557" spans="1:36" ht="15.75" customHeight="1" x14ac:dyDescent="0.2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  <c r="AA557" s="38"/>
      <c r="AB557" s="38"/>
      <c r="AC557" s="38"/>
      <c r="AD557" s="38"/>
      <c r="AE557" s="38"/>
      <c r="AF557" s="38"/>
      <c r="AG557" s="38"/>
      <c r="AH557" s="38"/>
      <c r="AI557" s="38"/>
      <c r="AJ557" s="38"/>
    </row>
    <row r="558" spans="1:36" ht="15.75" customHeight="1" x14ac:dyDescent="0.2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  <c r="AA558" s="38"/>
      <c r="AB558" s="38"/>
      <c r="AC558" s="38"/>
      <c r="AD558" s="38"/>
      <c r="AE558" s="38"/>
      <c r="AF558" s="38"/>
      <c r="AG558" s="38"/>
      <c r="AH558" s="38"/>
      <c r="AI558" s="38"/>
      <c r="AJ558" s="38"/>
    </row>
    <row r="559" spans="1:36" ht="15.75" customHeight="1" x14ac:dyDescent="0.2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  <c r="AA559" s="38"/>
      <c r="AB559" s="38"/>
      <c r="AC559" s="38"/>
      <c r="AD559" s="38"/>
      <c r="AE559" s="38"/>
      <c r="AF559" s="38"/>
      <c r="AG559" s="38"/>
      <c r="AH559" s="38"/>
      <c r="AI559" s="38"/>
      <c r="AJ559" s="38"/>
    </row>
    <row r="560" spans="1:36" ht="15.75" customHeight="1" x14ac:dyDescent="0.2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  <c r="AA560" s="38"/>
      <c r="AB560" s="38"/>
      <c r="AC560" s="38"/>
      <c r="AD560" s="38"/>
      <c r="AE560" s="38"/>
      <c r="AF560" s="38"/>
      <c r="AG560" s="38"/>
      <c r="AH560" s="38"/>
      <c r="AI560" s="38"/>
      <c r="AJ560" s="38"/>
    </row>
    <row r="561" spans="1:36" ht="15.75" customHeight="1" x14ac:dyDescent="0.2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  <c r="AA561" s="38"/>
      <c r="AB561" s="38"/>
      <c r="AC561" s="38"/>
      <c r="AD561" s="38"/>
      <c r="AE561" s="38"/>
      <c r="AF561" s="38"/>
      <c r="AG561" s="38"/>
      <c r="AH561" s="38"/>
      <c r="AI561" s="38"/>
      <c r="AJ561" s="38"/>
    </row>
    <row r="562" spans="1:36" ht="15.75" customHeight="1" x14ac:dyDescent="0.2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  <c r="AA562" s="38"/>
      <c r="AB562" s="38"/>
      <c r="AC562" s="38"/>
      <c r="AD562" s="38"/>
      <c r="AE562" s="38"/>
      <c r="AF562" s="38"/>
      <c r="AG562" s="38"/>
      <c r="AH562" s="38"/>
      <c r="AI562" s="38"/>
      <c r="AJ562" s="38"/>
    </row>
    <row r="563" spans="1:36" ht="15.75" customHeight="1" x14ac:dyDescent="0.2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  <c r="AA563" s="38"/>
      <c r="AB563" s="38"/>
      <c r="AC563" s="38"/>
      <c r="AD563" s="38"/>
      <c r="AE563" s="38"/>
      <c r="AF563" s="38"/>
      <c r="AG563" s="38"/>
      <c r="AH563" s="38"/>
      <c r="AI563" s="38"/>
      <c r="AJ563" s="38"/>
    </row>
    <row r="564" spans="1:36" ht="15.75" customHeight="1" x14ac:dyDescent="0.2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  <c r="AA564" s="38"/>
      <c r="AB564" s="38"/>
      <c r="AC564" s="38"/>
      <c r="AD564" s="38"/>
      <c r="AE564" s="38"/>
      <c r="AF564" s="38"/>
      <c r="AG564" s="38"/>
      <c r="AH564" s="38"/>
      <c r="AI564" s="38"/>
      <c r="AJ564" s="38"/>
    </row>
    <row r="565" spans="1:36" ht="15.75" customHeight="1" x14ac:dyDescent="0.2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  <c r="AA565" s="38"/>
      <c r="AB565" s="38"/>
      <c r="AC565" s="38"/>
      <c r="AD565" s="38"/>
      <c r="AE565" s="38"/>
      <c r="AF565" s="38"/>
      <c r="AG565" s="38"/>
      <c r="AH565" s="38"/>
      <c r="AI565" s="38"/>
      <c r="AJ565" s="38"/>
    </row>
    <row r="566" spans="1:36" ht="15.75" customHeight="1" x14ac:dyDescent="0.2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  <c r="AA566" s="38"/>
      <c r="AB566" s="38"/>
      <c r="AC566" s="38"/>
      <c r="AD566" s="38"/>
      <c r="AE566" s="38"/>
      <c r="AF566" s="38"/>
      <c r="AG566" s="38"/>
      <c r="AH566" s="38"/>
      <c r="AI566" s="38"/>
      <c r="AJ566" s="38"/>
    </row>
    <row r="567" spans="1:36" ht="15.75" customHeight="1" x14ac:dyDescent="0.2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  <c r="AA567" s="38"/>
      <c r="AB567" s="38"/>
      <c r="AC567" s="38"/>
      <c r="AD567" s="38"/>
      <c r="AE567" s="38"/>
      <c r="AF567" s="38"/>
      <c r="AG567" s="38"/>
      <c r="AH567" s="38"/>
      <c r="AI567" s="38"/>
      <c r="AJ567" s="38"/>
    </row>
    <row r="568" spans="1:36" ht="15.75" customHeight="1" x14ac:dyDescent="0.2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  <c r="AA568" s="38"/>
      <c r="AB568" s="38"/>
      <c r="AC568" s="38"/>
      <c r="AD568" s="38"/>
      <c r="AE568" s="38"/>
      <c r="AF568" s="38"/>
      <c r="AG568" s="38"/>
      <c r="AH568" s="38"/>
      <c r="AI568" s="38"/>
      <c r="AJ568" s="38"/>
    </row>
    <row r="569" spans="1:36" ht="15.75" customHeight="1" x14ac:dyDescent="0.2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  <c r="AA569" s="38"/>
      <c r="AB569" s="38"/>
      <c r="AC569" s="38"/>
      <c r="AD569" s="38"/>
      <c r="AE569" s="38"/>
      <c r="AF569" s="38"/>
      <c r="AG569" s="38"/>
      <c r="AH569" s="38"/>
      <c r="AI569" s="38"/>
      <c r="AJ569" s="38"/>
    </row>
    <row r="570" spans="1:36" ht="15.75" customHeight="1" x14ac:dyDescent="0.2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  <c r="AA570" s="38"/>
      <c r="AB570" s="38"/>
      <c r="AC570" s="38"/>
      <c r="AD570" s="38"/>
      <c r="AE570" s="38"/>
      <c r="AF570" s="38"/>
      <c r="AG570" s="38"/>
      <c r="AH570" s="38"/>
      <c r="AI570" s="38"/>
      <c r="AJ570" s="38"/>
    </row>
    <row r="571" spans="1:36" ht="15.75" customHeight="1" x14ac:dyDescent="0.2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  <c r="AA571" s="38"/>
      <c r="AB571" s="38"/>
      <c r="AC571" s="38"/>
      <c r="AD571" s="38"/>
      <c r="AE571" s="38"/>
      <c r="AF571" s="38"/>
      <c r="AG571" s="38"/>
      <c r="AH571" s="38"/>
      <c r="AI571" s="38"/>
      <c r="AJ571" s="38"/>
    </row>
    <row r="572" spans="1:36" ht="15.75" customHeight="1" x14ac:dyDescent="0.2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  <c r="AA572" s="38"/>
      <c r="AB572" s="38"/>
      <c r="AC572" s="38"/>
      <c r="AD572" s="38"/>
      <c r="AE572" s="38"/>
      <c r="AF572" s="38"/>
      <c r="AG572" s="38"/>
      <c r="AH572" s="38"/>
      <c r="AI572" s="38"/>
      <c r="AJ572" s="38"/>
    </row>
    <row r="573" spans="1:36" ht="15.75" customHeight="1" x14ac:dyDescent="0.2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  <c r="AA573" s="38"/>
      <c r="AB573" s="38"/>
      <c r="AC573" s="38"/>
      <c r="AD573" s="38"/>
      <c r="AE573" s="38"/>
      <c r="AF573" s="38"/>
      <c r="AG573" s="38"/>
      <c r="AH573" s="38"/>
      <c r="AI573" s="38"/>
      <c r="AJ573" s="38"/>
    </row>
    <row r="574" spans="1:36" ht="15.75" customHeight="1" x14ac:dyDescent="0.2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  <c r="AA574" s="38"/>
      <c r="AB574" s="38"/>
      <c r="AC574" s="38"/>
      <c r="AD574" s="38"/>
      <c r="AE574" s="38"/>
      <c r="AF574" s="38"/>
      <c r="AG574" s="38"/>
      <c r="AH574" s="38"/>
      <c r="AI574" s="38"/>
      <c r="AJ574" s="38"/>
    </row>
    <row r="575" spans="1:36" ht="15.75" customHeight="1" x14ac:dyDescent="0.2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  <c r="AA575" s="38"/>
      <c r="AB575" s="38"/>
      <c r="AC575" s="38"/>
      <c r="AD575" s="38"/>
      <c r="AE575" s="38"/>
      <c r="AF575" s="38"/>
      <c r="AG575" s="38"/>
      <c r="AH575" s="38"/>
      <c r="AI575" s="38"/>
      <c r="AJ575" s="38"/>
    </row>
    <row r="576" spans="1:36" ht="15.75" customHeight="1" x14ac:dyDescent="0.2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  <c r="AA576" s="38"/>
      <c r="AB576" s="38"/>
      <c r="AC576" s="38"/>
      <c r="AD576" s="38"/>
      <c r="AE576" s="38"/>
      <c r="AF576" s="38"/>
      <c r="AG576" s="38"/>
      <c r="AH576" s="38"/>
      <c r="AI576" s="38"/>
      <c r="AJ576" s="38"/>
    </row>
    <row r="577" spans="1:36" ht="15.75" customHeight="1" x14ac:dyDescent="0.2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  <c r="AA577" s="38"/>
      <c r="AB577" s="38"/>
      <c r="AC577" s="38"/>
      <c r="AD577" s="38"/>
      <c r="AE577" s="38"/>
      <c r="AF577" s="38"/>
      <c r="AG577" s="38"/>
      <c r="AH577" s="38"/>
      <c r="AI577" s="38"/>
      <c r="AJ577" s="38"/>
    </row>
    <row r="578" spans="1:36" ht="15.75" customHeight="1" x14ac:dyDescent="0.2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  <c r="AA578" s="38"/>
      <c r="AB578" s="38"/>
      <c r="AC578" s="38"/>
      <c r="AD578" s="38"/>
      <c r="AE578" s="38"/>
      <c r="AF578" s="38"/>
      <c r="AG578" s="38"/>
      <c r="AH578" s="38"/>
      <c r="AI578" s="38"/>
      <c r="AJ578" s="38"/>
    </row>
    <row r="579" spans="1:36" ht="15.75" customHeight="1" x14ac:dyDescent="0.2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  <c r="AA579" s="38"/>
      <c r="AB579" s="38"/>
      <c r="AC579" s="38"/>
      <c r="AD579" s="38"/>
      <c r="AE579" s="38"/>
      <c r="AF579" s="38"/>
      <c r="AG579" s="38"/>
      <c r="AH579" s="38"/>
      <c r="AI579" s="38"/>
      <c r="AJ579" s="38"/>
    </row>
    <row r="580" spans="1:36" ht="15.75" customHeight="1" x14ac:dyDescent="0.2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  <c r="AA580" s="38"/>
      <c r="AB580" s="38"/>
      <c r="AC580" s="38"/>
      <c r="AD580" s="38"/>
      <c r="AE580" s="38"/>
      <c r="AF580" s="38"/>
      <c r="AG580" s="38"/>
      <c r="AH580" s="38"/>
      <c r="AI580" s="38"/>
      <c r="AJ580" s="38"/>
    </row>
    <row r="581" spans="1:36" ht="15.75" customHeight="1" x14ac:dyDescent="0.2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  <c r="AA581" s="38"/>
      <c r="AB581" s="38"/>
      <c r="AC581" s="38"/>
      <c r="AD581" s="38"/>
      <c r="AE581" s="38"/>
      <c r="AF581" s="38"/>
      <c r="AG581" s="38"/>
      <c r="AH581" s="38"/>
      <c r="AI581" s="38"/>
      <c r="AJ581" s="38"/>
    </row>
    <row r="582" spans="1:36" ht="15.75" customHeight="1" x14ac:dyDescent="0.2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  <c r="AA582" s="38"/>
      <c r="AB582" s="38"/>
      <c r="AC582" s="38"/>
      <c r="AD582" s="38"/>
      <c r="AE582" s="38"/>
      <c r="AF582" s="38"/>
      <c r="AG582" s="38"/>
      <c r="AH582" s="38"/>
      <c r="AI582" s="38"/>
      <c r="AJ582" s="38"/>
    </row>
    <row r="583" spans="1:36" ht="15.75" customHeight="1" x14ac:dyDescent="0.2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  <c r="AA583" s="38"/>
      <c r="AB583" s="38"/>
      <c r="AC583" s="38"/>
      <c r="AD583" s="38"/>
      <c r="AE583" s="38"/>
      <c r="AF583" s="38"/>
      <c r="AG583" s="38"/>
      <c r="AH583" s="38"/>
      <c r="AI583" s="38"/>
      <c r="AJ583" s="38"/>
    </row>
    <row r="584" spans="1:36" ht="15.75" customHeight="1" x14ac:dyDescent="0.2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  <c r="AA584" s="38"/>
      <c r="AB584" s="38"/>
      <c r="AC584" s="38"/>
      <c r="AD584" s="38"/>
      <c r="AE584" s="38"/>
      <c r="AF584" s="38"/>
      <c r="AG584" s="38"/>
      <c r="AH584" s="38"/>
      <c r="AI584" s="38"/>
      <c r="AJ584" s="38"/>
    </row>
    <row r="585" spans="1:36" ht="15.75" customHeight="1" x14ac:dyDescent="0.2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  <c r="AA585" s="38"/>
      <c r="AB585" s="38"/>
      <c r="AC585" s="38"/>
      <c r="AD585" s="38"/>
      <c r="AE585" s="38"/>
      <c r="AF585" s="38"/>
      <c r="AG585" s="38"/>
      <c r="AH585" s="38"/>
      <c r="AI585" s="38"/>
      <c r="AJ585" s="38"/>
    </row>
    <row r="586" spans="1:36" ht="15.75" customHeight="1" x14ac:dyDescent="0.2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  <c r="AA586" s="38"/>
      <c r="AB586" s="38"/>
      <c r="AC586" s="38"/>
      <c r="AD586" s="38"/>
      <c r="AE586" s="38"/>
      <c r="AF586" s="38"/>
      <c r="AG586" s="38"/>
      <c r="AH586" s="38"/>
      <c r="AI586" s="38"/>
      <c r="AJ586" s="38"/>
    </row>
    <row r="587" spans="1:36" ht="15.75" customHeight="1" x14ac:dyDescent="0.2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  <c r="AA587" s="38"/>
      <c r="AB587" s="38"/>
      <c r="AC587" s="38"/>
      <c r="AD587" s="38"/>
      <c r="AE587" s="38"/>
      <c r="AF587" s="38"/>
      <c r="AG587" s="38"/>
      <c r="AH587" s="38"/>
      <c r="AI587" s="38"/>
      <c r="AJ587" s="38"/>
    </row>
    <row r="588" spans="1:36" ht="15.75" customHeight="1" x14ac:dyDescent="0.2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  <c r="AA588" s="38"/>
      <c r="AB588" s="38"/>
      <c r="AC588" s="38"/>
      <c r="AD588" s="38"/>
      <c r="AE588" s="38"/>
      <c r="AF588" s="38"/>
      <c r="AG588" s="38"/>
      <c r="AH588" s="38"/>
      <c r="AI588" s="38"/>
      <c r="AJ588" s="38"/>
    </row>
    <row r="589" spans="1:36" ht="15.75" customHeight="1" x14ac:dyDescent="0.2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  <c r="AA589" s="38"/>
      <c r="AB589" s="38"/>
      <c r="AC589" s="38"/>
      <c r="AD589" s="38"/>
      <c r="AE589" s="38"/>
      <c r="AF589" s="38"/>
      <c r="AG589" s="38"/>
      <c r="AH589" s="38"/>
      <c r="AI589" s="38"/>
      <c r="AJ589" s="38"/>
    </row>
    <row r="590" spans="1:36" ht="15.75" customHeight="1" x14ac:dyDescent="0.2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  <c r="AA590" s="38"/>
      <c r="AB590" s="38"/>
      <c r="AC590" s="38"/>
      <c r="AD590" s="38"/>
      <c r="AE590" s="38"/>
      <c r="AF590" s="38"/>
      <c r="AG590" s="38"/>
      <c r="AH590" s="38"/>
      <c r="AI590" s="38"/>
      <c r="AJ590" s="38"/>
    </row>
    <row r="591" spans="1:36" ht="15.75" customHeight="1" x14ac:dyDescent="0.2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  <c r="AA591" s="38"/>
      <c r="AB591" s="38"/>
      <c r="AC591" s="38"/>
      <c r="AD591" s="38"/>
      <c r="AE591" s="38"/>
      <c r="AF591" s="38"/>
      <c r="AG591" s="38"/>
      <c r="AH591" s="38"/>
      <c r="AI591" s="38"/>
      <c r="AJ591" s="38"/>
    </row>
    <row r="592" spans="1:36" ht="15.75" customHeight="1" x14ac:dyDescent="0.2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  <c r="AA592" s="38"/>
      <c r="AB592" s="38"/>
      <c r="AC592" s="38"/>
      <c r="AD592" s="38"/>
      <c r="AE592" s="38"/>
      <c r="AF592" s="38"/>
      <c r="AG592" s="38"/>
      <c r="AH592" s="38"/>
      <c r="AI592" s="38"/>
      <c r="AJ592" s="38"/>
    </row>
    <row r="593" spans="1:36" ht="15.75" customHeight="1" x14ac:dyDescent="0.2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  <c r="AA593" s="38"/>
      <c r="AB593" s="38"/>
      <c r="AC593" s="38"/>
      <c r="AD593" s="38"/>
      <c r="AE593" s="38"/>
      <c r="AF593" s="38"/>
      <c r="AG593" s="38"/>
      <c r="AH593" s="38"/>
      <c r="AI593" s="38"/>
      <c r="AJ593" s="38"/>
    </row>
    <row r="594" spans="1:36" ht="15.75" customHeight="1" x14ac:dyDescent="0.2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  <c r="AA594" s="38"/>
      <c r="AB594" s="38"/>
      <c r="AC594" s="38"/>
      <c r="AD594" s="38"/>
      <c r="AE594" s="38"/>
      <c r="AF594" s="38"/>
      <c r="AG594" s="38"/>
      <c r="AH594" s="38"/>
      <c r="AI594" s="38"/>
      <c r="AJ594" s="38"/>
    </row>
    <row r="595" spans="1:36" ht="15.75" customHeight="1" x14ac:dyDescent="0.2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  <c r="AA595" s="38"/>
      <c r="AB595" s="38"/>
      <c r="AC595" s="38"/>
      <c r="AD595" s="38"/>
      <c r="AE595" s="38"/>
      <c r="AF595" s="38"/>
      <c r="AG595" s="38"/>
      <c r="AH595" s="38"/>
      <c r="AI595" s="38"/>
      <c r="AJ595" s="38"/>
    </row>
    <row r="596" spans="1:36" ht="15.75" customHeight="1" x14ac:dyDescent="0.2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  <c r="AA596" s="38"/>
      <c r="AB596" s="38"/>
      <c r="AC596" s="38"/>
      <c r="AD596" s="38"/>
      <c r="AE596" s="38"/>
      <c r="AF596" s="38"/>
      <c r="AG596" s="38"/>
      <c r="AH596" s="38"/>
      <c r="AI596" s="38"/>
      <c r="AJ596" s="38"/>
    </row>
    <row r="597" spans="1:36" ht="15.75" customHeight="1" x14ac:dyDescent="0.2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  <c r="AA597" s="38"/>
      <c r="AB597" s="38"/>
      <c r="AC597" s="38"/>
      <c r="AD597" s="38"/>
      <c r="AE597" s="38"/>
      <c r="AF597" s="38"/>
      <c r="AG597" s="38"/>
      <c r="AH597" s="38"/>
      <c r="AI597" s="38"/>
      <c r="AJ597" s="38"/>
    </row>
    <row r="598" spans="1:36" ht="15.75" customHeight="1" x14ac:dyDescent="0.2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  <c r="AA598" s="38"/>
      <c r="AB598" s="38"/>
      <c r="AC598" s="38"/>
      <c r="AD598" s="38"/>
      <c r="AE598" s="38"/>
      <c r="AF598" s="38"/>
      <c r="AG598" s="38"/>
      <c r="AH598" s="38"/>
      <c r="AI598" s="38"/>
      <c r="AJ598" s="38"/>
    </row>
    <row r="599" spans="1:36" ht="15.75" customHeight="1" x14ac:dyDescent="0.2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  <c r="AA599" s="38"/>
      <c r="AB599" s="38"/>
      <c r="AC599" s="38"/>
      <c r="AD599" s="38"/>
      <c r="AE599" s="38"/>
      <c r="AF599" s="38"/>
      <c r="AG599" s="38"/>
      <c r="AH599" s="38"/>
      <c r="AI599" s="38"/>
      <c r="AJ599" s="38"/>
    </row>
    <row r="600" spans="1:36" ht="15.75" customHeight="1" x14ac:dyDescent="0.2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  <c r="AA600" s="38"/>
      <c r="AB600" s="38"/>
      <c r="AC600" s="38"/>
      <c r="AD600" s="38"/>
      <c r="AE600" s="38"/>
      <c r="AF600" s="38"/>
      <c r="AG600" s="38"/>
      <c r="AH600" s="38"/>
      <c r="AI600" s="38"/>
      <c r="AJ600" s="38"/>
    </row>
    <row r="601" spans="1:36" ht="15.75" customHeight="1" x14ac:dyDescent="0.2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  <c r="AA601" s="38"/>
      <c r="AB601" s="38"/>
      <c r="AC601" s="38"/>
      <c r="AD601" s="38"/>
      <c r="AE601" s="38"/>
      <c r="AF601" s="38"/>
      <c r="AG601" s="38"/>
      <c r="AH601" s="38"/>
      <c r="AI601" s="38"/>
      <c r="AJ601" s="38"/>
    </row>
    <row r="602" spans="1:36" ht="15.75" customHeight="1" x14ac:dyDescent="0.2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  <c r="AA602" s="38"/>
      <c r="AB602" s="38"/>
      <c r="AC602" s="38"/>
      <c r="AD602" s="38"/>
      <c r="AE602" s="38"/>
      <c r="AF602" s="38"/>
      <c r="AG602" s="38"/>
      <c r="AH602" s="38"/>
      <c r="AI602" s="38"/>
      <c r="AJ602" s="38"/>
    </row>
    <row r="603" spans="1:36" ht="15.75" customHeight="1" x14ac:dyDescent="0.2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  <c r="AA603" s="38"/>
      <c r="AB603" s="38"/>
      <c r="AC603" s="38"/>
      <c r="AD603" s="38"/>
      <c r="AE603" s="38"/>
      <c r="AF603" s="38"/>
      <c r="AG603" s="38"/>
      <c r="AH603" s="38"/>
      <c r="AI603" s="38"/>
      <c r="AJ603" s="38"/>
    </row>
    <row r="604" spans="1:36" ht="15.75" customHeight="1" x14ac:dyDescent="0.2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  <c r="AA604" s="38"/>
      <c r="AB604" s="38"/>
      <c r="AC604" s="38"/>
      <c r="AD604" s="38"/>
      <c r="AE604" s="38"/>
      <c r="AF604" s="38"/>
      <c r="AG604" s="38"/>
      <c r="AH604" s="38"/>
      <c r="AI604" s="38"/>
      <c r="AJ604" s="38"/>
    </row>
    <row r="605" spans="1:36" ht="15.75" customHeight="1" x14ac:dyDescent="0.2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  <c r="AA605" s="38"/>
      <c r="AB605" s="38"/>
      <c r="AC605" s="38"/>
      <c r="AD605" s="38"/>
      <c r="AE605" s="38"/>
      <c r="AF605" s="38"/>
      <c r="AG605" s="38"/>
      <c r="AH605" s="38"/>
      <c r="AI605" s="38"/>
      <c r="AJ605" s="38"/>
    </row>
    <row r="606" spans="1:36" ht="15.75" customHeight="1" x14ac:dyDescent="0.2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  <c r="AA606" s="38"/>
      <c r="AB606" s="38"/>
      <c r="AC606" s="38"/>
      <c r="AD606" s="38"/>
      <c r="AE606" s="38"/>
      <c r="AF606" s="38"/>
      <c r="AG606" s="38"/>
      <c r="AH606" s="38"/>
      <c r="AI606" s="38"/>
      <c r="AJ606" s="38"/>
    </row>
    <row r="607" spans="1:36" ht="15.75" customHeight="1" x14ac:dyDescent="0.2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  <c r="AA607" s="38"/>
      <c r="AB607" s="38"/>
      <c r="AC607" s="38"/>
      <c r="AD607" s="38"/>
      <c r="AE607" s="38"/>
      <c r="AF607" s="38"/>
      <c r="AG607" s="38"/>
      <c r="AH607" s="38"/>
      <c r="AI607" s="38"/>
      <c r="AJ607" s="38"/>
    </row>
    <row r="608" spans="1:36" ht="15.75" customHeight="1" x14ac:dyDescent="0.2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  <c r="AA608" s="38"/>
      <c r="AB608" s="38"/>
      <c r="AC608" s="38"/>
      <c r="AD608" s="38"/>
      <c r="AE608" s="38"/>
      <c r="AF608" s="38"/>
      <c r="AG608" s="38"/>
      <c r="AH608" s="38"/>
      <c r="AI608" s="38"/>
      <c r="AJ608" s="38"/>
    </row>
    <row r="609" spans="1:36" ht="15.75" customHeight="1" x14ac:dyDescent="0.2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  <c r="AA609" s="38"/>
      <c r="AB609" s="38"/>
      <c r="AC609" s="38"/>
      <c r="AD609" s="38"/>
      <c r="AE609" s="38"/>
      <c r="AF609" s="38"/>
      <c r="AG609" s="38"/>
      <c r="AH609" s="38"/>
      <c r="AI609" s="38"/>
      <c r="AJ609" s="38"/>
    </row>
    <row r="610" spans="1:36" ht="15.75" customHeight="1" x14ac:dyDescent="0.2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  <c r="AA610" s="38"/>
      <c r="AB610" s="38"/>
      <c r="AC610" s="38"/>
      <c r="AD610" s="38"/>
      <c r="AE610" s="38"/>
      <c r="AF610" s="38"/>
      <c r="AG610" s="38"/>
      <c r="AH610" s="38"/>
      <c r="AI610" s="38"/>
      <c r="AJ610" s="38"/>
    </row>
    <row r="611" spans="1:36" ht="15.75" customHeight="1" x14ac:dyDescent="0.2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  <c r="AA611" s="38"/>
      <c r="AB611" s="38"/>
      <c r="AC611" s="38"/>
      <c r="AD611" s="38"/>
      <c r="AE611" s="38"/>
      <c r="AF611" s="38"/>
      <c r="AG611" s="38"/>
      <c r="AH611" s="38"/>
      <c r="AI611" s="38"/>
      <c r="AJ611" s="38"/>
    </row>
    <row r="612" spans="1:36" ht="15.75" customHeight="1" x14ac:dyDescent="0.2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  <c r="AA612" s="38"/>
      <c r="AB612" s="38"/>
      <c r="AC612" s="38"/>
      <c r="AD612" s="38"/>
      <c r="AE612" s="38"/>
      <c r="AF612" s="38"/>
      <c r="AG612" s="38"/>
      <c r="AH612" s="38"/>
      <c r="AI612" s="38"/>
      <c r="AJ612" s="38"/>
    </row>
    <row r="613" spans="1:36" ht="15.75" customHeight="1" x14ac:dyDescent="0.2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  <c r="AA613" s="38"/>
      <c r="AB613" s="38"/>
      <c r="AC613" s="38"/>
      <c r="AD613" s="38"/>
      <c r="AE613" s="38"/>
      <c r="AF613" s="38"/>
      <c r="AG613" s="38"/>
      <c r="AH613" s="38"/>
      <c r="AI613" s="38"/>
      <c r="AJ613" s="38"/>
    </row>
    <row r="614" spans="1:36" ht="15.75" customHeight="1" x14ac:dyDescent="0.2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  <c r="AA614" s="38"/>
      <c r="AB614" s="38"/>
      <c r="AC614" s="38"/>
      <c r="AD614" s="38"/>
      <c r="AE614" s="38"/>
      <c r="AF614" s="38"/>
      <c r="AG614" s="38"/>
      <c r="AH614" s="38"/>
      <c r="AI614" s="38"/>
      <c r="AJ614" s="38"/>
    </row>
    <row r="615" spans="1:36" ht="15.75" customHeight="1" x14ac:dyDescent="0.2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  <c r="AA615" s="38"/>
      <c r="AB615" s="38"/>
      <c r="AC615" s="38"/>
      <c r="AD615" s="38"/>
      <c r="AE615" s="38"/>
      <c r="AF615" s="38"/>
      <c r="AG615" s="38"/>
      <c r="AH615" s="38"/>
      <c r="AI615" s="38"/>
      <c r="AJ615" s="38"/>
    </row>
    <row r="616" spans="1:36" ht="15.75" customHeight="1" x14ac:dyDescent="0.2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  <c r="AA616" s="38"/>
      <c r="AB616" s="38"/>
      <c r="AC616" s="38"/>
      <c r="AD616" s="38"/>
      <c r="AE616" s="38"/>
      <c r="AF616" s="38"/>
      <c r="AG616" s="38"/>
      <c r="AH616" s="38"/>
      <c r="AI616" s="38"/>
      <c r="AJ616" s="38"/>
    </row>
    <row r="617" spans="1:36" ht="15.75" customHeight="1" x14ac:dyDescent="0.2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  <c r="AA617" s="38"/>
      <c r="AB617" s="38"/>
      <c r="AC617" s="38"/>
      <c r="AD617" s="38"/>
      <c r="AE617" s="38"/>
      <c r="AF617" s="38"/>
      <c r="AG617" s="38"/>
      <c r="AH617" s="38"/>
      <c r="AI617" s="38"/>
      <c r="AJ617" s="38"/>
    </row>
    <row r="618" spans="1:36" ht="15.75" customHeight="1" x14ac:dyDescent="0.2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  <c r="AA618" s="38"/>
      <c r="AB618" s="38"/>
      <c r="AC618" s="38"/>
      <c r="AD618" s="38"/>
      <c r="AE618" s="38"/>
      <c r="AF618" s="38"/>
      <c r="AG618" s="38"/>
      <c r="AH618" s="38"/>
      <c r="AI618" s="38"/>
      <c r="AJ618" s="38"/>
    </row>
    <row r="619" spans="1:36" ht="15.75" customHeight="1" x14ac:dyDescent="0.2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  <c r="AA619" s="38"/>
      <c r="AB619" s="38"/>
      <c r="AC619" s="38"/>
      <c r="AD619" s="38"/>
      <c r="AE619" s="38"/>
      <c r="AF619" s="38"/>
      <c r="AG619" s="38"/>
      <c r="AH619" s="38"/>
      <c r="AI619" s="38"/>
      <c r="AJ619" s="38"/>
    </row>
    <row r="620" spans="1:36" ht="15.75" customHeight="1" x14ac:dyDescent="0.2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  <c r="AA620" s="38"/>
      <c r="AB620" s="38"/>
      <c r="AC620" s="38"/>
      <c r="AD620" s="38"/>
      <c r="AE620" s="38"/>
      <c r="AF620" s="38"/>
      <c r="AG620" s="38"/>
      <c r="AH620" s="38"/>
      <c r="AI620" s="38"/>
      <c r="AJ620" s="38"/>
    </row>
    <row r="621" spans="1:36" ht="15.75" customHeight="1" x14ac:dyDescent="0.2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  <c r="AA621" s="38"/>
      <c r="AB621" s="38"/>
      <c r="AC621" s="38"/>
      <c r="AD621" s="38"/>
      <c r="AE621" s="38"/>
      <c r="AF621" s="38"/>
      <c r="AG621" s="38"/>
      <c r="AH621" s="38"/>
      <c r="AI621" s="38"/>
      <c r="AJ621" s="38"/>
    </row>
    <row r="622" spans="1:36" ht="15.75" customHeight="1" x14ac:dyDescent="0.2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  <c r="AA622" s="38"/>
      <c r="AB622" s="38"/>
      <c r="AC622" s="38"/>
      <c r="AD622" s="38"/>
      <c r="AE622" s="38"/>
      <c r="AF622" s="38"/>
      <c r="AG622" s="38"/>
      <c r="AH622" s="38"/>
      <c r="AI622" s="38"/>
      <c r="AJ622" s="38"/>
    </row>
    <row r="623" spans="1:36" ht="15.75" customHeight="1" x14ac:dyDescent="0.2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  <c r="AA623" s="38"/>
      <c r="AB623" s="38"/>
      <c r="AC623" s="38"/>
      <c r="AD623" s="38"/>
      <c r="AE623" s="38"/>
      <c r="AF623" s="38"/>
      <c r="AG623" s="38"/>
      <c r="AH623" s="38"/>
      <c r="AI623" s="38"/>
      <c r="AJ623" s="38"/>
    </row>
    <row r="624" spans="1:36" ht="15.75" customHeight="1" x14ac:dyDescent="0.2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  <c r="AA624" s="38"/>
      <c r="AB624" s="38"/>
      <c r="AC624" s="38"/>
      <c r="AD624" s="38"/>
      <c r="AE624" s="38"/>
      <c r="AF624" s="38"/>
      <c r="AG624" s="38"/>
      <c r="AH624" s="38"/>
      <c r="AI624" s="38"/>
      <c r="AJ624" s="38"/>
    </row>
    <row r="625" spans="1:36" ht="15.75" customHeight="1" x14ac:dyDescent="0.2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  <c r="AA625" s="38"/>
      <c r="AB625" s="38"/>
      <c r="AC625" s="38"/>
      <c r="AD625" s="38"/>
      <c r="AE625" s="38"/>
      <c r="AF625" s="38"/>
      <c r="AG625" s="38"/>
      <c r="AH625" s="38"/>
      <c r="AI625" s="38"/>
      <c r="AJ625" s="38"/>
    </row>
    <row r="626" spans="1:36" ht="15.75" customHeight="1" x14ac:dyDescent="0.2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  <c r="AA626" s="38"/>
      <c r="AB626" s="38"/>
      <c r="AC626" s="38"/>
      <c r="AD626" s="38"/>
      <c r="AE626" s="38"/>
      <c r="AF626" s="38"/>
      <c r="AG626" s="38"/>
      <c r="AH626" s="38"/>
      <c r="AI626" s="38"/>
      <c r="AJ626" s="38"/>
    </row>
    <row r="627" spans="1:36" ht="15.75" customHeight="1" x14ac:dyDescent="0.2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  <c r="AA627" s="38"/>
      <c r="AB627" s="38"/>
      <c r="AC627" s="38"/>
      <c r="AD627" s="38"/>
      <c r="AE627" s="38"/>
      <c r="AF627" s="38"/>
      <c r="AG627" s="38"/>
      <c r="AH627" s="38"/>
      <c r="AI627" s="38"/>
      <c r="AJ627" s="38"/>
    </row>
    <row r="628" spans="1:36" ht="15.75" customHeight="1" x14ac:dyDescent="0.2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  <c r="AA628" s="38"/>
      <c r="AB628" s="38"/>
      <c r="AC628" s="38"/>
      <c r="AD628" s="38"/>
      <c r="AE628" s="38"/>
      <c r="AF628" s="38"/>
      <c r="AG628" s="38"/>
      <c r="AH628" s="38"/>
      <c r="AI628" s="38"/>
      <c r="AJ628" s="38"/>
    </row>
    <row r="629" spans="1:36" ht="15.75" customHeight="1" x14ac:dyDescent="0.2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  <c r="AA629" s="38"/>
      <c r="AB629" s="38"/>
      <c r="AC629" s="38"/>
      <c r="AD629" s="38"/>
      <c r="AE629" s="38"/>
      <c r="AF629" s="38"/>
      <c r="AG629" s="38"/>
      <c r="AH629" s="38"/>
      <c r="AI629" s="38"/>
      <c r="AJ629" s="38"/>
    </row>
    <row r="630" spans="1:36" ht="15.75" customHeight="1" x14ac:dyDescent="0.2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  <c r="AA630" s="38"/>
      <c r="AB630" s="38"/>
      <c r="AC630" s="38"/>
      <c r="AD630" s="38"/>
      <c r="AE630" s="38"/>
      <c r="AF630" s="38"/>
      <c r="AG630" s="38"/>
      <c r="AH630" s="38"/>
      <c r="AI630" s="38"/>
      <c r="AJ630" s="38"/>
    </row>
    <row r="631" spans="1:36" ht="15.75" customHeight="1" x14ac:dyDescent="0.2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  <c r="AA631" s="38"/>
      <c r="AB631" s="38"/>
      <c r="AC631" s="38"/>
      <c r="AD631" s="38"/>
      <c r="AE631" s="38"/>
      <c r="AF631" s="38"/>
      <c r="AG631" s="38"/>
      <c r="AH631" s="38"/>
      <c r="AI631" s="38"/>
      <c r="AJ631" s="38"/>
    </row>
    <row r="632" spans="1:36" ht="15.75" customHeight="1" x14ac:dyDescent="0.2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  <c r="AA632" s="38"/>
      <c r="AB632" s="38"/>
      <c r="AC632" s="38"/>
      <c r="AD632" s="38"/>
      <c r="AE632" s="38"/>
      <c r="AF632" s="38"/>
      <c r="AG632" s="38"/>
      <c r="AH632" s="38"/>
      <c r="AI632" s="38"/>
      <c r="AJ632" s="38"/>
    </row>
    <row r="633" spans="1:36" ht="15.75" customHeight="1" x14ac:dyDescent="0.2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  <c r="AA633" s="38"/>
      <c r="AB633" s="38"/>
      <c r="AC633" s="38"/>
      <c r="AD633" s="38"/>
      <c r="AE633" s="38"/>
      <c r="AF633" s="38"/>
      <c r="AG633" s="38"/>
      <c r="AH633" s="38"/>
      <c r="AI633" s="38"/>
      <c r="AJ633" s="38"/>
    </row>
    <row r="634" spans="1:36" ht="15.75" customHeight="1" x14ac:dyDescent="0.2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  <c r="AA634" s="38"/>
      <c r="AB634" s="38"/>
      <c r="AC634" s="38"/>
      <c r="AD634" s="38"/>
      <c r="AE634" s="38"/>
      <c r="AF634" s="38"/>
      <c r="AG634" s="38"/>
      <c r="AH634" s="38"/>
      <c r="AI634" s="38"/>
      <c r="AJ634" s="38"/>
    </row>
    <row r="635" spans="1:36" ht="15.75" customHeight="1" x14ac:dyDescent="0.2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  <c r="AA635" s="38"/>
      <c r="AB635" s="38"/>
      <c r="AC635" s="38"/>
      <c r="AD635" s="38"/>
      <c r="AE635" s="38"/>
      <c r="AF635" s="38"/>
      <c r="AG635" s="38"/>
      <c r="AH635" s="38"/>
      <c r="AI635" s="38"/>
      <c r="AJ635" s="38"/>
    </row>
    <row r="636" spans="1:36" ht="15.75" customHeight="1" x14ac:dyDescent="0.2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  <c r="AA636" s="38"/>
      <c r="AB636" s="38"/>
      <c r="AC636" s="38"/>
      <c r="AD636" s="38"/>
      <c r="AE636" s="38"/>
      <c r="AF636" s="38"/>
      <c r="AG636" s="38"/>
      <c r="AH636" s="38"/>
      <c r="AI636" s="38"/>
      <c r="AJ636" s="38"/>
    </row>
    <row r="637" spans="1:36" ht="15.75" customHeight="1" x14ac:dyDescent="0.2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  <c r="AA637" s="38"/>
      <c r="AB637" s="38"/>
      <c r="AC637" s="38"/>
      <c r="AD637" s="38"/>
      <c r="AE637" s="38"/>
      <c r="AF637" s="38"/>
      <c r="AG637" s="38"/>
      <c r="AH637" s="38"/>
      <c r="AI637" s="38"/>
      <c r="AJ637" s="38"/>
    </row>
    <row r="638" spans="1:36" ht="15.75" customHeight="1" x14ac:dyDescent="0.2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  <c r="AA638" s="38"/>
      <c r="AB638" s="38"/>
      <c r="AC638" s="38"/>
      <c r="AD638" s="38"/>
      <c r="AE638" s="38"/>
      <c r="AF638" s="38"/>
      <c r="AG638" s="38"/>
      <c r="AH638" s="38"/>
      <c r="AI638" s="38"/>
      <c r="AJ638" s="38"/>
    </row>
    <row r="639" spans="1:36" ht="15.75" customHeight="1" x14ac:dyDescent="0.2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  <c r="AA639" s="38"/>
      <c r="AB639" s="38"/>
      <c r="AC639" s="38"/>
      <c r="AD639" s="38"/>
      <c r="AE639" s="38"/>
      <c r="AF639" s="38"/>
      <c r="AG639" s="38"/>
      <c r="AH639" s="38"/>
      <c r="AI639" s="38"/>
      <c r="AJ639" s="38"/>
    </row>
    <row r="640" spans="1:36" ht="15.75" customHeight="1" x14ac:dyDescent="0.2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  <c r="AA640" s="38"/>
      <c r="AB640" s="38"/>
      <c r="AC640" s="38"/>
      <c r="AD640" s="38"/>
      <c r="AE640" s="38"/>
      <c r="AF640" s="38"/>
      <c r="AG640" s="38"/>
      <c r="AH640" s="38"/>
      <c r="AI640" s="38"/>
      <c r="AJ640" s="38"/>
    </row>
    <row r="641" spans="1:36" ht="15.75" customHeight="1" x14ac:dyDescent="0.2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  <c r="AA641" s="38"/>
      <c r="AB641" s="38"/>
      <c r="AC641" s="38"/>
      <c r="AD641" s="38"/>
      <c r="AE641" s="38"/>
      <c r="AF641" s="38"/>
      <c r="AG641" s="38"/>
      <c r="AH641" s="38"/>
      <c r="AI641" s="38"/>
      <c r="AJ641" s="38"/>
    </row>
    <row r="642" spans="1:36" ht="15.75" customHeight="1" x14ac:dyDescent="0.2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  <c r="AA642" s="38"/>
      <c r="AB642" s="38"/>
      <c r="AC642" s="38"/>
      <c r="AD642" s="38"/>
      <c r="AE642" s="38"/>
      <c r="AF642" s="38"/>
      <c r="AG642" s="38"/>
      <c r="AH642" s="38"/>
      <c r="AI642" s="38"/>
      <c r="AJ642" s="38"/>
    </row>
    <row r="643" spans="1:36" ht="15.75" customHeight="1" x14ac:dyDescent="0.2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  <c r="AA643" s="38"/>
      <c r="AB643" s="38"/>
      <c r="AC643" s="38"/>
      <c r="AD643" s="38"/>
      <c r="AE643" s="38"/>
      <c r="AF643" s="38"/>
      <c r="AG643" s="38"/>
      <c r="AH643" s="38"/>
      <c r="AI643" s="38"/>
      <c r="AJ643" s="38"/>
    </row>
    <row r="644" spans="1:36" ht="15.75" customHeight="1" x14ac:dyDescent="0.2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  <c r="AA644" s="38"/>
      <c r="AB644" s="38"/>
      <c r="AC644" s="38"/>
      <c r="AD644" s="38"/>
      <c r="AE644" s="38"/>
      <c r="AF644" s="38"/>
      <c r="AG644" s="38"/>
      <c r="AH644" s="38"/>
      <c r="AI644" s="38"/>
      <c r="AJ644" s="38"/>
    </row>
    <row r="645" spans="1:36" ht="15.75" customHeight="1" x14ac:dyDescent="0.2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  <c r="AA645" s="38"/>
      <c r="AB645" s="38"/>
      <c r="AC645" s="38"/>
      <c r="AD645" s="38"/>
      <c r="AE645" s="38"/>
      <c r="AF645" s="38"/>
      <c r="AG645" s="38"/>
      <c r="AH645" s="38"/>
      <c r="AI645" s="38"/>
      <c r="AJ645" s="38"/>
    </row>
    <row r="646" spans="1:36" ht="15.75" customHeight="1" x14ac:dyDescent="0.2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  <c r="AA646" s="38"/>
      <c r="AB646" s="38"/>
      <c r="AC646" s="38"/>
      <c r="AD646" s="38"/>
      <c r="AE646" s="38"/>
      <c r="AF646" s="38"/>
      <c r="AG646" s="38"/>
      <c r="AH646" s="38"/>
      <c r="AI646" s="38"/>
      <c r="AJ646" s="38"/>
    </row>
    <row r="647" spans="1:36" ht="15.75" customHeight="1" x14ac:dyDescent="0.2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  <c r="AA647" s="38"/>
      <c r="AB647" s="38"/>
      <c r="AC647" s="38"/>
      <c r="AD647" s="38"/>
      <c r="AE647" s="38"/>
      <c r="AF647" s="38"/>
      <c r="AG647" s="38"/>
      <c r="AH647" s="38"/>
      <c r="AI647" s="38"/>
      <c r="AJ647" s="38"/>
    </row>
    <row r="648" spans="1:36" ht="15.75" customHeight="1" x14ac:dyDescent="0.2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  <c r="AA648" s="38"/>
      <c r="AB648" s="38"/>
      <c r="AC648" s="38"/>
      <c r="AD648" s="38"/>
      <c r="AE648" s="38"/>
      <c r="AF648" s="38"/>
      <c r="AG648" s="38"/>
      <c r="AH648" s="38"/>
      <c r="AI648" s="38"/>
      <c r="AJ648" s="38"/>
    </row>
    <row r="649" spans="1:36" ht="15.75" customHeight="1" x14ac:dyDescent="0.2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  <c r="AA649" s="38"/>
      <c r="AB649" s="38"/>
      <c r="AC649" s="38"/>
      <c r="AD649" s="38"/>
      <c r="AE649" s="38"/>
      <c r="AF649" s="38"/>
      <c r="AG649" s="38"/>
      <c r="AH649" s="38"/>
      <c r="AI649" s="38"/>
      <c r="AJ649" s="38"/>
    </row>
    <row r="650" spans="1:36" ht="15.75" customHeight="1" x14ac:dyDescent="0.2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  <c r="AA650" s="38"/>
      <c r="AB650" s="38"/>
      <c r="AC650" s="38"/>
      <c r="AD650" s="38"/>
      <c r="AE650" s="38"/>
      <c r="AF650" s="38"/>
      <c r="AG650" s="38"/>
      <c r="AH650" s="38"/>
      <c r="AI650" s="38"/>
      <c r="AJ650" s="38"/>
    </row>
    <row r="651" spans="1:36" ht="15.75" customHeight="1" x14ac:dyDescent="0.2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  <c r="AA651" s="38"/>
      <c r="AB651" s="38"/>
      <c r="AC651" s="38"/>
      <c r="AD651" s="38"/>
      <c r="AE651" s="38"/>
      <c r="AF651" s="38"/>
      <c r="AG651" s="38"/>
      <c r="AH651" s="38"/>
      <c r="AI651" s="38"/>
      <c r="AJ651" s="38"/>
    </row>
    <row r="652" spans="1:36" ht="15.75" customHeight="1" x14ac:dyDescent="0.2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  <c r="AA652" s="38"/>
      <c r="AB652" s="38"/>
      <c r="AC652" s="38"/>
      <c r="AD652" s="38"/>
      <c r="AE652" s="38"/>
      <c r="AF652" s="38"/>
      <c r="AG652" s="38"/>
      <c r="AH652" s="38"/>
      <c r="AI652" s="38"/>
      <c r="AJ652" s="38"/>
    </row>
    <row r="653" spans="1:36" ht="15.75" customHeight="1" x14ac:dyDescent="0.2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  <c r="AA653" s="38"/>
      <c r="AB653" s="38"/>
      <c r="AC653" s="38"/>
      <c r="AD653" s="38"/>
      <c r="AE653" s="38"/>
      <c r="AF653" s="38"/>
      <c r="AG653" s="38"/>
      <c r="AH653" s="38"/>
      <c r="AI653" s="38"/>
      <c r="AJ653" s="38"/>
    </row>
    <row r="654" spans="1:36" ht="15.75" customHeight="1" x14ac:dyDescent="0.2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  <c r="AA654" s="38"/>
      <c r="AB654" s="38"/>
      <c r="AC654" s="38"/>
      <c r="AD654" s="38"/>
      <c r="AE654" s="38"/>
      <c r="AF654" s="38"/>
      <c r="AG654" s="38"/>
      <c r="AH654" s="38"/>
      <c r="AI654" s="38"/>
      <c r="AJ654" s="38"/>
    </row>
    <row r="655" spans="1:36" ht="15.75" customHeight="1" x14ac:dyDescent="0.2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  <c r="AA655" s="38"/>
      <c r="AB655" s="38"/>
      <c r="AC655" s="38"/>
      <c r="AD655" s="38"/>
      <c r="AE655" s="38"/>
      <c r="AF655" s="38"/>
      <c r="AG655" s="38"/>
      <c r="AH655" s="38"/>
      <c r="AI655" s="38"/>
      <c r="AJ655" s="38"/>
    </row>
    <row r="656" spans="1:36" ht="15.75" customHeight="1" x14ac:dyDescent="0.2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  <c r="AA656" s="38"/>
      <c r="AB656" s="38"/>
      <c r="AC656" s="38"/>
      <c r="AD656" s="38"/>
      <c r="AE656" s="38"/>
      <c r="AF656" s="38"/>
      <c r="AG656" s="38"/>
      <c r="AH656" s="38"/>
      <c r="AI656" s="38"/>
      <c r="AJ656" s="38"/>
    </row>
    <row r="657" spans="1:36" ht="15.75" customHeight="1" x14ac:dyDescent="0.2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  <c r="AA657" s="38"/>
      <c r="AB657" s="38"/>
      <c r="AC657" s="38"/>
      <c r="AD657" s="38"/>
      <c r="AE657" s="38"/>
      <c r="AF657" s="38"/>
      <c r="AG657" s="38"/>
      <c r="AH657" s="38"/>
      <c r="AI657" s="38"/>
      <c r="AJ657" s="38"/>
    </row>
    <row r="658" spans="1:36" ht="15.75" customHeight="1" x14ac:dyDescent="0.2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  <c r="AA658" s="38"/>
      <c r="AB658" s="38"/>
      <c r="AC658" s="38"/>
      <c r="AD658" s="38"/>
      <c r="AE658" s="38"/>
      <c r="AF658" s="38"/>
      <c r="AG658" s="38"/>
      <c r="AH658" s="38"/>
      <c r="AI658" s="38"/>
      <c r="AJ658" s="38"/>
    </row>
    <row r="659" spans="1:36" ht="15.75" customHeight="1" x14ac:dyDescent="0.2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  <c r="AA659" s="38"/>
      <c r="AB659" s="38"/>
      <c r="AC659" s="38"/>
      <c r="AD659" s="38"/>
      <c r="AE659" s="38"/>
      <c r="AF659" s="38"/>
      <c r="AG659" s="38"/>
      <c r="AH659" s="38"/>
      <c r="AI659" s="38"/>
      <c r="AJ659" s="38"/>
    </row>
    <row r="660" spans="1:36" ht="15.75" customHeight="1" x14ac:dyDescent="0.2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  <c r="AA660" s="38"/>
      <c r="AB660" s="38"/>
      <c r="AC660" s="38"/>
      <c r="AD660" s="38"/>
      <c r="AE660" s="38"/>
      <c r="AF660" s="38"/>
      <c r="AG660" s="38"/>
      <c r="AH660" s="38"/>
      <c r="AI660" s="38"/>
      <c r="AJ660" s="38"/>
    </row>
    <row r="661" spans="1:36" ht="15.75" customHeight="1" x14ac:dyDescent="0.2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  <c r="AA661" s="38"/>
      <c r="AB661" s="38"/>
      <c r="AC661" s="38"/>
      <c r="AD661" s="38"/>
      <c r="AE661" s="38"/>
      <c r="AF661" s="38"/>
      <c r="AG661" s="38"/>
      <c r="AH661" s="38"/>
      <c r="AI661" s="38"/>
      <c r="AJ661" s="38"/>
    </row>
    <row r="662" spans="1:36" ht="15.75" customHeight="1" x14ac:dyDescent="0.2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  <c r="AA662" s="38"/>
      <c r="AB662" s="38"/>
      <c r="AC662" s="38"/>
      <c r="AD662" s="38"/>
      <c r="AE662" s="38"/>
      <c r="AF662" s="38"/>
      <c r="AG662" s="38"/>
      <c r="AH662" s="38"/>
      <c r="AI662" s="38"/>
      <c r="AJ662" s="38"/>
    </row>
    <row r="663" spans="1:36" ht="15.75" customHeight="1" x14ac:dyDescent="0.2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  <c r="AA663" s="38"/>
      <c r="AB663" s="38"/>
      <c r="AC663" s="38"/>
      <c r="AD663" s="38"/>
      <c r="AE663" s="38"/>
      <c r="AF663" s="38"/>
      <c r="AG663" s="38"/>
      <c r="AH663" s="38"/>
      <c r="AI663" s="38"/>
      <c r="AJ663" s="38"/>
    </row>
    <row r="664" spans="1:36" ht="15.75" customHeight="1" x14ac:dyDescent="0.2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  <c r="AA664" s="38"/>
      <c r="AB664" s="38"/>
      <c r="AC664" s="38"/>
      <c r="AD664" s="38"/>
      <c r="AE664" s="38"/>
      <c r="AF664" s="38"/>
      <c r="AG664" s="38"/>
      <c r="AH664" s="38"/>
      <c r="AI664" s="38"/>
      <c r="AJ664" s="38"/>
    </row>
    <row r="665" spans="1:36" ht="15.75" customHeight="1" x14ac:dyDescent="0.2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  <c r="AA665" s="38"/>
      <c r="AB665" s="38"/>
      <c r="AC665" s="38"/>
      <c r="AD665" s="38"/>
      <c r="AE665" s="38"/>
      <c r="AF665" s="38"/>
      <c r="AG665" s="38"/>
      <c r="AH665" s="38"/>
      <c r="AI665" s="38"/>
      <c r="AJ665" s="38"/>
    </row>
    <row r="666" spans="1:36" ht="15.75" customHeight="1" x14ac:dyDescent="0.2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  <c r="AA666" s="38"/>
      <c r="AB666" s="38"/>
      <c r="AC666" s="38"/>
      <c r="AD666" s="38"/>
      <c r="AE666" s="38"/>
      <c r="AF666" s="38"/>
      <c r="AG666" s="38"/>
      <c r="AH666" s="38"/>
      <c r="AI666" s="38"/>
      <c r="AJ666" s="38"/>
    </row>
    <row r="667" spans="1:36" ht="15.75" customHeight="1" x14ac:dyDescent="0.2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  <c r="AA667" s="38"/>
      <c r="AB667" s="38"/>
      <c r="AC667" s="38"/>
      <c r="AD667" s="38"/>
      <c r="AE667" s="38"/>
      <c r="AF667" s="38"/>
      <c r="AG667" s="38"/>
      <c r="AH667" s="38"/>
      <c r="AI667" s="38"/>
      <c r="AJ667" s="38"/>
    </row>
    <row r="668" spans="1:36" ht="15.75" customHeight="1" x14ac:dyDescent="0.2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  <c r="AA668" s="38"/>
      <c r="AB668" s="38"/>
      <c r="AC668" s="38"/>
      <c r="AD668" s="38"/>
      <c r="AE668" s="38"/>
      <c r="AF668" s="38"/>
      <c r="AG668" s="38"/>
      <c r="AH668" s="38"/>
      <c r="AI668" s="38"/>
      <c r="AJ668" s="38"/>
    </row>
    <row r="669" spans="1:36" ht="15.75" customHeight="1" x14ac:dyDescent="0.2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  <c r="AA669" s="38"/>
      <c r="AB669" s="38"/>
      <c r="AC669" s="38"/>
      <c r="AD669" s="38"/>
      <c r="AE669" s="38"/>
      <c r="AF669" s="38"/>
      <c r="AG669" s="38"/>
      <c r="AH669" s="38"/>
      <c r="AI669" s="38"/>
      <c r="AJ669" s="38"/>
    </row>
    <row r="670" spans="1:36" ht="15.75" customHeight="1" x14ac:dyDescent="0.2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  <c r="AA670" s="38"/>
      <c r="AB670" s="38"/>
      <c r="AC670" s="38"/>
      <c r="AD670" s="38"/>
      <c r="AE670" s="38"/>
      <c r="AF670" s="38"/>
      <c r="AG670" s="38"/>
      <c r="AH670" s="38"/>
      <c r="AI670" s="38"/>
      <c r="AJ670" s="38"/>
    </row>
    <row r="671" spans="1:36" ht="15.75" customHeight="1" x14ac:dyDescent="0.2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  <c r="AA671" s="38"/>
      <c r="AB671" s="38"/>
      <c r="AC671" s="38"/>
      <c r="AD671" s="38"/>
      <c r="AE671" s="38"/>
      <c r="AF671" s="38"/>
      <c r="AG671" s="38"/>
      <c r="AH671" s="38"/>
      <c r="AI671" s="38"/>
      <c r="AJ671" s="38"/>
    </row>
    <row r="672" spans="1:36" ht="15.75" customHeight="1" x14ac:dyDescent="0.2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  <c r="AA672" s="38"/>
      <c r="AB672" s="38"/>
      <c r="AC672" s="38"/>
      <c r="AD672" s="38"/>
      <c r="AE672" s="38"/>
      <c r="AF672" s="38"/>
      <c r="AG672" s="38"/>
      <c r="AH672" s="38"/>
      <c r="AI672" s="38"/>
      <c r="AJ672" s="38"/>
    </row>
    <row r="673" spans="1:36" ht="15.75" customHeight="1" x14ac:dyDescent="0.2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  <c r="AA673" s="38"/>
      <c r="AB673" s="38"/>
      <c r="AC673" s="38"/>
      <c r="AD673" s="38"/>
      <c r="AE673" s="38"/>
      <c r="AF673" s="38"/>
      <c r="AG673" s="38"/>
      <c r="AH673" s="38"/>
      <c r="AI673" s="38"/>
      <c r="AJ673" s="38"/>
    </row>
    <row r="674" spans="1:36" ht="15.75" customHeight="1" x14ac:dyDescent="0.2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  <c r="AA674" s="38"/>
      <c r="AB674" s="38"/>
      <c r="AC674" s="38"/>
      <c r="AD674" s="38"/>
      <c r="AE674" s="38"/>
      <c r="AF674" s="38"/>
      <c r="AG674" s="38"/>
      <c r="AH674" s="38"/>
      <c r="AI674" s="38"/>
      <c r="AJ674" s="38"/>
    </row>
    <row r="675" spans="1:36" ht="15.75" customHeight="1" x14ac:dyDescent="0.2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  <c r="AA675" s="38"/>
      <c r="AB675" s="38"/>
      <c r="AC675" s="38"/>
      <c r="AD675" s="38"/>
      <c r="AE675" s="38"/>
      <c r="AF675" s="38"/>
      <c r="AG675" s="38"/>
      <c r="AH675" s="38"/>
      <c r="AI675" s="38"/>
      <c r="AJ675" s="38"/>
    </row>
    <row r="676" spans="1:36" ht="15.75" customHeight="1" x14ac:dyDescent="0.2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  <c r="AA676" s="38"/>
      <c r="AB676" s="38"/>
      <c r="AC676" s="38"/>
      <c r="AD676" s="38"/>
      <c r="AE676" s="38"/>
      <c r="AF676" s="38"/>
      <c r="AG676" s="38"/>
      <c r="AH676" s="38"/>
      <c r="AI676" s="38"/>
      <c r="AJ676" s="38"/>
    </row>
    <row r="677" spans="1:36" ht="15.75" customHeight="1" x14ac:dyDescent="0.2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  <c r="AA677" s="38"/>
      <c r="AB677" s="38"/>
      <c r="AC677" s="38"/>
      <c r="AD677" s="38"/>
      <c r="AE677" s="38"/>
      <c r="AF677" s="38"/>
      <c r="AG677" s="38"/>
      <c r="AH677" s="38"/>
      <c r="AI677" s="38"/>
      <c r="AJ677" s="38"/>
    </row>
    <row r="678" spans="1:36" ht="15.75" customHeight="1" x14ac:dyDescent="0.2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  <c r="AA678" s="38"/>
      <c r="AB678" s="38"/>
      <c r="AC678" s="38"/>
      <c r="AD678" s="38"/>
      <c r="AE678" s="38"/>
      <c r="AF678" s="38"/>
      <c r="AG678" s="38"/>
      <c r="AH678" s="38"/>
      <c r="AI678" s="38"/>
      <c r="AJ678" s="38"/>
    </row>
    <row r="679" spans="1:36" ht="15.75" customHeight="1" x14ac:dyDescent="0.2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  <c r="AA679" s="38"/>
      <c r="AB679" s="38"/>
      <c r="AC679" s="38"/>
      <c r="AD679" s="38"/>
      <c r="AE679" s="38"/>
      <c r="AF679" s="38"/>
      <c r="AG679" s="38"/>
      <c r="AH679" s="38"/>
      <c r="AI679" s="38"/>
      <c r="AJ679" s="38"/>
    </row>
    <row r="680" spans="1:36" ht="15.75" customHeight="1" x14ac:dyDescent="0.2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  <c r="AA680" s="38"/>
      <c r="AB680" s="38"/>
      <c r="AC680" s="38"/>
      <c r="AD680" s="38"/>
      <c r="AE680" s="38"/>
      <c r="AF680" s="38"/>
      <c r="AG680" s="38"/>
      <c r="AH680" s="38"/>
      <c r="AI680" s="38"/>
      <c r="AJ680" s="38"/>
    </row>
    <row r="681" spans="1:36" ht="15.75" customHeight="1" x14ac:dyDescent="0.2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  <c r="AA681" s="38"/>
      <c r="AB681" s="38"/>
      <c r="AC681" s="38"/>
      <c r="AD681" s="38"/>
      <c r="AE681" s="38"/>
      <c r="AF681" s="38"/>
      <c r="AG681" s="38"/>
      <c r="AH681" s="38"/>
      <c r="AI681" s="38"/>
      <c r="AJ681" s="38"/>
    </row>
    <row r="682" spans="1:36" ht="15.75" customHeight="1" x14ac:dyDescent="0.2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  <c r="AA682" s="38"/>
      <c r="AB682" s="38"/>
      <c r="AC682" s="38"/>
      <c r="AD682" s="38"/>
      <c r="AE682" s="38"/>
      <c r="AF682" s="38"/>
      <c r="AG682" s="38"/>
      <c r="AH682" s="38"/>
      <c r="AI682" s="38"/>
      <c r="AJ682" s="38"/>
    </row>
    <row r="683" spans="1:36" ht="15.75" customHeight="1" x14ac:dyDescent="0.2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  <c r="AA683" s="38"/>
      <c r="AB683" s="38"/>
      <c r="AC683" s="38"/>
      <c r="AD683" s="38"/>
      <c r="AE683" s="38"/>
      <c r="AF683" s="38"/>
      <c r="AG683" s="38"/>
      <c r="AH683" s="38"/>
      <c r="AI683" s="38"/>
      <c r="AJ683" s="38"/>
    </row>
    <row r="684" spans="1:36" ht="15.75" customHeight="1" x14ac:dyDescent="0.2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  <c r="AA684" s="38"/>
      <c r="AB684" s="38"/>
      <c r="AC684" s="38"/>
      <c r="AD684" s="38"/>
      <c r="AE684" s="38"/>
      <c r="AF684" s="38"/>
      <c r="AG684" s="38"/>
      <c r="AH684" s="38"/>
      <c r="AI684" s="38"/>
      <c r="AJ684" s="38"/>
    </row>
    <row r="685" spans="1:36" ht="15.75" customHeight="1" x14ac:dyDescent="0.2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  <c r="AA685" s="38"/>
      <c r="AB685" s="38"/>
      <c r="AC685" s="38"/>
      <c r="AD685" s="38"/>
      <c r="AE685" s="38"/>
      <c r="AF685" s="38"/>
      <c r="AG685" s="38"/>
      <c r="AH685" s="38"/>
      <c r="AI685" s="38"/>
      <c r="AJ685" s="38"/>
    </row>
    <row r="686" spans="1:36" ht="15.75" customHeight="1" x14ac:dyDescent="0.2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  <c r="AA686" s="38"/>
      <c r="AB686" s="38"/>
      <c r="AC686" s="38"/>
      <c r="AD686" s="38"/>
      <c r="AE686" s="38"/>
      <c r="AF686" s="38"/>
      <c r="AG686" s="38"/>
      <c r="AH686" s="38"/>
      <c r="AI686" s="38"/>
      <c r="AJ686" s="38"/>
    </row>
    <row r="687" spans="1:36" ht="15.75" customHeight="1" x14ac:dyDescent="0.2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  <c r="AA687" s="38"/>
      <c r="AB687" s="38"/>
      <c r="AC687" s="38"/>
      <c r="AD687" s="38"/>
      <c r="AE687" s="38"/>
      <c r="AF687" s="38"/>
      <c r="AG687" s="38"/>
      <c r="AH687" s="38"/>
      <c r="AI687" s="38"/>
      <c r="AJ687" s="38"/>
    </row>
    <row r="688" spans="1:36" ht="15.75" customHeight="1" x14ac:dyDescent="0.2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  <c r="AA688" s="38"/>
      <c r="AB688" s="38"/>
      <c r="AC688" s="38"/>
      <c r="AD688" s="38"/>
      <c r="AE688" s="38"/>
      <c r="AF688" s="38"/>
      <c r="AG688" s="38"/>
      <c r="AH688" s="38"/>
      <c r="AI688" s="38"/>
      <c r="AJ688" s="38"/>
    </row>
    <row r="689" spans="1:36" ht="15.75" customHeight="1" x14ac:dyDescent="0.2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  <c r="AA689" s="38"/>
      <c r="AB689" s="38"/>
      <c r="AC689" s="38"/>
      <c r="AD689" s="38"/>
      <c r="AE689" s="38"/>
      <c r="AF689" s="38"/>
      <c r="AG689" s="38"/>
      <c r="AH689" s="38"/>
      <c r="AI689" s="38"/>
      <c r="AJ689" s="38"/>
    </row>
    <row r="690" spans="1:36" ht="15.75" customHeight="1" x14ac:dyDescent="0.2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  <c r="AA690" s="38"/>
      <c r="AB690" s="38"/>
      <c r="AC690" s="38"/>
      <c r="AD690" s="38"/>
      <c r="AE690" s="38"/>
      <c r="AF690" s="38"/>
      <c r="AG690" s="38"/>
      <c r="AH690" s="38"/>
      <c r="AI690" s="38"/>
      <c r="AJ690" s="38"/>
    </row>
    <row r="691" spans="1:36" ht="15.75" customHeight="1" x14ac:dyDescent="0.2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  <c r="AA691" s="38"/>
      <c r="AB691" s="38"/>
      <c r="AC691" s="38"/>
      <c r="AD691" s="38"/>
      <c r="AE691" s="38"/>
      <c r="AF691" s="38"/>
      <c r="AG691" s="38"/>
      <c r="AH691" s="38"/>
      <c r="AI691" s="38"/>
      <c r="AJ691" s="38"/>
    </row>
    <row r="692" spans="1:36" ht="15.75" customHeight="1" x14ac:dyDescent="0.2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  <c r="AA692" s="38"/>
      <c r="AB692" s="38"/>
      <c r="AC692" s="38"/>
      <c r="AD692" s="38"/>
      <c r="AE692" s="38"/>
      <c r="AF692" s="38"/>
      <c r="AG692" s="38"/>
      <c r="AH692" s="38"/>
      <c r="AI692" s="38"/>
      <c r="AJ692" s="38"/>
    </row>
    <row r="693" spans="1:36" ht="15.75" customHeight="1" x14ac:dyDescent="0.2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  <c r="AA693" s="38"/>
      <c r="AB693" s="38"/>
      <c r="AC693" s="38"/>
      <c r="AD693" s="38"/>
      <c r="AE693" s="38"/>
      <c r="AF693" s="38"/>
      <c r="AG693" s="38"/>
      <c r="AH693" s="38"/>
      <c r="AI693" s="38"/>
      <c r="AJ693" s="38"/>
    </row>
    <row r="694" spans="1:36" ht="15.75" customHeight="1" x14ac:dyDescent="0.2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  <c r="AA694" s="38"/>
      <c r="AB694" s="38"/>
      <c r="AC694" s="38"/>
      <c r="AD694" s="38"/>
      <c r="AE694" s="38"/>
      <c r="AF694" s="38"/>
      <c r="AG694" s="38"/>
      <c r="AH694" s="38"/>
      <c r="AI694" s="38"/>
      <c r="AJ694" s="38"/>
    </row>
    <row r="695" spans="1:36" ht="15.75" customHeight="1" x14ac:dyDescent="0.2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  <c r="AA695" s="38"/>
      <c r="AB695" s="38"/>
      <c r="AC695" s="38"/>
      <c r="AD695" s="38"/>
      <c r="AE695" s="38"/>
      <c r="AF695" s="38"/>
      <c r="AG695" s="38"/>
      <c r="AH695" s="38"/>
      <c r="AI695" s="38"/>
      <c r="AJ695" s="38"/>
    </row>
    <row r="696" spans="1:36" ht="15.75" customHeight="1" x14ac:dyDescent="0.2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  <c r="AA696" s="38"/>
      <c r="AB696" s="38"/>
      <c r="AC696" s="38"/>
      <c r="AD696" s="38"/>
      <c r="AE696" s="38"/>
      <c r="AF696" s="38"/>
      <c r="AG696" s="38"/>
      <c r="AH696" s="38"/>
      <c r="AI696" s="38"/>
      <c r="AJ696" s="38"/>
    </row>
    <row r="697" spans="1:36" ht="15.75" customHeight="1" x14ac:dyDescent="0.2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  <c r="AA697" s="38"/>
      <c r="AB697" s="38"/>
      <c r="AC697" s="38"/>
      <c r="AD697" s="38"/>
      <c r="AE697" s="38"/>
      <c r="AF697" s="38"/>
      <c r="AG697" s="38"/>
      <c r="AH697" s="38"/>
      <c r="AI697" s="38"/>
      <c r="AJ697" s="38"/>
    </row>
    <row r="698" spans="1:36" ht="15.75" customHeight="1" x14ac:dyDescent="0.2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  <c r="AA698" s="38"/>
      <c r="AB698" s="38"/>
      <c r="AC698" s="38"/>
      <c r="AD698" s="38"/>
      <c r="AE698" s="38"/>
      <c r="AF698" s="38"/>
      <c r="AG698" s="38"/>
      <c r="AH698" s="38"/>
      <c r="AI698" s="38"/>
      <c r="AJ698" s="38"/>
    </row>
    <row r="699" spans="1:36" ht="15.75" customHeight="1" x14ac:dyDescent="0.2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  <c r="AA699" s="38"/>
      <c r="AB699" s="38"/>
      <c r="AC699" s="38"/>
      <c r="AD699" s="38"/>
      <c r="AE699" s="38"/>
      <c r="AF699" s="38"/>
      <c r="AG699" s="38"/>
      <c r="AH699" s="38"/>
      <c r="AI699" s="38"/>
      <c r="AJ699" s="38"/>
    </row>
    <row r="700" spans="1:36" ht="15.75" customHeight="1" x14ac:dyDescent="0.2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  <c r="AA700" s="38"/>
      <c r="AB700" s="38"/>
      <c r="AC700" s="38"/>
      <c r="AD700" s="38"/>
      <c r="AE700" s="38"/>
      <c r="AF700" s="38"/>
      <c r="AG700" s="38"/>
      <c r="AH700" s="38"/>
      <c r="AI700" s="38"/>
      <c r="AJ700" s="38"/>
    </row>
    <row r="701" spans="1:36" ht="15.75" customHeight="1" x14ac:dyDescent="0.2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  <c r="AA701" s="38"/>
      <c r="AB701" s="38"/>
      <c r="AC701" s="38"/>
      <c r="AD701" s="38"/>
      <c r="AE701" s="38"/>
      <c r="AF701" s="38"/>
      <c r="AG701" s="38"/>
      <c r="AH701" s="38"/>
      <c r="AI701" s="38"/>
      <c r="AJ701" s="38"/>
    </row>
    <row r="702" spans="1:36" ht="15.75" customHeight="1" x14ac:dyDescent="0.2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  <c r="AA702" s="38"/>
      <c r="AB702" s="38"/>
      <c r="AC702" s="38"/>
      <c r="AD702" s="38"/>
      <c r="AE702" s="38"/>
      <c r="AF702" s="38"/>
      <c r="AG702" s="38"/>
      <c r="AH702" s="38"/>
      <c r="AI702" s="38"/>
      <c r="AJ702" s="38"/>
    </row>
    <row r="703" spans="1:36" ht="15.75" customHeight="1" x14ac:dyDescent="0.2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  <c r="AA703" s="38"/>
      <c r="AB703" s="38"/>
      <c r="AC703" s="38"/>
      <c r="AD703" s="38"/>
      <c r="AE703" s="38"/>
      <c r="AF703" s="38"/>
      <c r="AG703" s="38"/>
      <c r="AH703" s="38"/>
      <c r="AI703" s="38"/>
      <c r="AJ703" s="38"/>
    </row>
    <row r="704" spans="1:36" ht="15.75" customHeight="1" x14ac:dyDescent="0.2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  <c r="AA704" s="38"/>
      <c r="AB704" s="38"/>
      <c r="AC704" s="38"/>
      <c r="AD704" s="38"/>
      <c r="AE704" s="38"/>
      <c r="AF704" s="38"/>
      <c r="AG704" s="38"/>
      <c r="AH704" s="38"/>
      <c r="AI704" s="38"/>
      <c r="AJ704" s="38"/>
    </row>
    <row r="705" spans="1:36" ht="15.75" customHeight="1" x14ac:dyDescent="0.2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  <c r="AA705" s="38"/>
      <c r="AB705" s="38"/>
      <c r="AC705" s="38"/>
      <c r="AD705" s="38"/>
      <c r="AE705" s="38"/>
      <c r="AF705" s="38"/>
      <c r="AG705" s="38"/>
      <c r="AH705" s="38"/>
      <c r="AI705" s="38"/>
      <c r="AJ705" s="38"/>
    </row>
    <row r="706" spans="1:36" ht="15.75" customHeight="1" x14ac:dyDescent="0.2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  <c r="AA706" s="38"/>
      <c r="AB706" s="38"/>
      <c r="AC706" s="38"/>
      <c r="AD706" s="38"/>
      <c r="AE706" s="38"/>
      <c r="AF706" s="38"/>
      <c r="AG706" s="38"/>
      <c r="AH706" s="38"/>
      <c r="AI706" s="38"/>
      <c r="AJ706" s="38"/>
    </row>
    <row r="707" spans="1:36" ht="15.75" customHeight="1" x14ac:dyDescent="0.2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  <c r="AA707" s="38"/>
      <c r="AB707" s="38"/>
      <c r="AC707" s="38"/>
      <c r="AD707" s="38"/>
      <c r="AE707" s="38"/>
      <c r="AF707" s="38"/>
      <c r="AG707" s="38"/>
      <c r="AH707" s="38"/>
      <c r="AI707" s="38"/>
      <c r="AJ707" s="38"/>
    </row>
    <row r="708" spans="1:36" ht="15.75" customHeight="1" x14ac:dyDescent="0.2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  <c r="AA708" s="38"/>
      <c r="AB708" s="38"/>
      <c r="AC708" s="38"/>
      <c r="AD708" s="38"/>
      <c r="AE708" s="38"/>
      <c r="AF708" s="38"/>
      <c r="AG708" s="38"/>
      <c r="AH708" s="38"/>
      <c r="AI708" s="38"/>
      <c r="AJ708" s="38"/>
    </row>
    <row r="709" spans="1:36" ht="15.75" customHeight="1" x14ac:dyDescent="0.2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  <c r="AA709" s="38"/>
      <c r="AB709" s="38"/>
      <c r="AC709" s="38"/>
      <c r="AD709" s="38"/>
      <c r="AE709" s="38"/>
      <c r="AF709" s="38"/>
      <c r="AG709" s="38"/>
      <c r="AH709" s="38"/>
      <c r="AI709" s="38"/>
      <c r="AJ709" s="38"/>
    </row>
    <row r="710" spans="1:36" ht="15.75" customHeight="1" x14ac:dyDescent="0.2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  <c r="AA710" s="38"/>
      <c r="AB710" s="38"/>
      <c r="AC710" s="38"/>
      <c r="AD710" s="38"/>
      <c r="AE710" s="38"/>
      <c r="AF710" s="38"/>
      <c r="AG710" s="38"/>
      <c r="AH710" s="38"/>
      <c r="AI710" s="38"/>
      <c r="AJ710" s="38"/>
    </row>
    <row r="711" spans="1:36" ht="15.75" customHeight="1" x14ac:dyDescent="0.2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  <c r="AA711" s="38"/>
      <c r="AB711" s="38"/>
      <c r="AC711" s="38"/>
      <c r="AD711" s="38"/>
      <c r="AE711" s="38"/>
      <c r="AF711" s="38"/>
      <c r="AG711" s="38"/>
      <c r="AH711" s="38"/>
      <c r="AI711" s="38"/>
      <c r="AJ711" s="38"/>
    </row>
    <row r="712" spans="1:36" ht="15.75" customHeight="1" x14ac:dyDescent="0.2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  <c r="AA712" s="38"/>
      <c r="AB712" s="38"/>
      <c r="AC712" s="38"/>
      <c r="AD712" s="38"/>
      <c r="AE712" s="38"/>
      <c r="AF712" s="38"/>
      <c r="AG712" s="38"/>
      <c r="AH712" s="38"/>
      <c r="AI712" s="38"/>
      <c r="AJ712" s="38"/>
    </row>
    <row r="713" spans="1:36" ht="15.75" customHeight="1" x14ac:dyDescent="0.2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  <c r="AA713" s="38"/>
      <c r="AB713" s="38"/>
      <c r="AC713" s="38"/>
      <c r="AD713" s="38"/>
      <c r="AE713" s="38"/>
      <c r="AF713" s="38"/>
      <c r="AG713" s="38"/>
      <c r="AH713" s="38"/>
      <c r="AI713" s="38"/>
      <c r="AJ713" s="38"/>
    </row>
    <row r="714" spans="1:36" ht="15.75" customHeight="1" x14ac:dyDescent="0.2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  <c r="AA714" s="38"/>
      <c r="AB714" s="38"/>
      <c r="AC714" s="38"/>
      <c r="AD714" s="38"/>
      <c r="AE714" s="38"/>
      <c r="AF714" s="38"/>
      <c r="AG714" s="38"/>
      <c r="AH714" s="38"/>
      <c r="AI714" s="38"/>
      <c r="AJ714" s="38"/>
    </row>
    <row r="715" spans="1:36" ht="15.75" customHeight="1" x14ac:dyDescent="0.2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  <c r="AA715" s="38"/>
      <c r="AB715" s="38"/>
      <c r="AC715" s="38"/>
      <c r="AD715" s="38"/>
      <c r="AE715" s="38"/>
      <c r="AF715" s="38"/>
      <c r="AG715" s="38"/>
      <c r="AH715" s="38"/>
      <c r="AI715" s="38"/>
      <c r="AJ715" s="38"/>
    </row>
    <row r="716" spans="1:36" ht="15.75" customHeight="1" x14ac:dyDescent="0.2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  <c r="AA716" s="38"/>
      <c r="AB716" s="38"/>
      <c r="AC716" s="38"/>
      <c r="AD716" s="38"/>
      <c r="AE716" s="38"/>
      <c r="AF716" s="38"/>
      <c r="AG716" s="38"/>
      <c r="AH716" s="38"/>
      <c r="AI716" s="38"/>
      <c r="AJ716" s="38"/>
    </row>
    <row r="717" spans="1:36" ht="15.75" customHeight="1" x14ac:dyDescent="0.2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  <c r="AA717" s="38"/>
      <c r="AB717" s="38"/>
      <c r="AC717" s="38"/>
      <c r="AD717" s="38"/>
      <c r="AE717" s="38"/>
      <c r="AF717" s="38"/>
      <c r="AG717" s="38"/>
      <c r="AH717" s="38"/>
      <c r="AI717" s="38"/>
      <c r="AJ717" s="38"/>
    </row>
    <row r="718" spans="1:36" ht="15.75" customHeight="1" x14ac:dyDescent="0.2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  <c r="AA718" s="38"/>
      <c r="AB718" s="38"/>
      <c r="AC718" s="38"/>
      <c r="AD718" s="38"/>
      <c r="AE718" s="38"/>
      <c r="AF718" s="38"/>
      <c r="AG718" s="38"/>
      <c r="AH718" s="38"/>
      <c r="AI718" s="38"/>
      <c r="AJ718" s="38"/>
    </row>
    <row r="719" spans="1:36" ht="15.75" customHeight="1" x14ac:dyDescent="0.2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  <c r="AA719" s="38"/>
      <c r="AB719" s="38"/>
      <c r="AC719" s="38"/>
      <c r="AD719" s="38"/>
      <c r="AE719" s="38"/>
      <c r="AF719" s="38"/>
      <c r="AG719" s="38"/>
      <c r="AH719" s="38"/>
      <c r="AI719" s="38"/>
      <c r="AJ719" s="38"/>
    </row>
    <row r="720" spans="1:36" ht="15.75" customHeight="1" x14ac:dyDescent="0.2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  <c r="AA720" s="38"/>
      <c r="AB720" s="38"/>
      <c r="AC720" s="38"/>
      <c r="AD720" s="38"/>
      <c r="AE720" s="38"/>
      <c r="AF720" s="38"/>
      <c r="AG720" s="38"/>
      <c r="AH720" s="38"/>
      <c r="AI720" s="38"/>
      <c r="AJ720" s="38"/>
    </row>
    <row r="721" spans="1:36" ht="15.75" customHeight="1" x14ac:dyDescent="0.2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  <c r="AA721" s="38"/>
      <c r="AB721" s="38"/>
      <c r="AC721" s="38"/>
      <c r="AD721" s="38"/>
      <c r="AE721" s="38"/>
      <c r="AF721" s="38"/>
      <c r="AG721" s="38"/>
      <c r="AH721" s="38"/>
      <c r="AI721" s="38"/>
      <c r="AJ721" s="38"/>
    </row>
    <row r="722" spans="1:36" ht="15.75" customHeight="1" x14ac:dyDescent="0.2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  <c r="AA722" s="38"/>
      <c r="AB722" s="38"/>
      <c r="AC722" s="38"/>
      <c r="AD722" s="38"/>
      <c r="AE722" s="38"/>
      <c r="AF722" s="38"/>
      <c r="AG722" s="38"/>
      <c r="AH722" s="38"/>
      <c r="AI722" s="38"/>
      <c r="AJ722" s="38"/>
    </row>
    <row r="723" spans="1:36" ht="15.75" customHeight="1" x14ac:dyDescent="0.2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  <c r="AA723" s="38"/>
      <c r="AB723" s="38"/>
      <c r="AC723" s="38"/>
      <c r="AD723" s="38"/>
      <c r="AE723" s="38"/>
      <c r="AF723" s="38"/>
      <c r="AG723" s="38"/>
      <c r="AH723" s="38"/>
      <c r="AI723" s="38"/>
      <c r="AJ723" s="38"/>
    </row>
    <row r="724" spans="1:36" ht="15.75" customHeight="1" x14ac:dyDescent="0.2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  <c r="AA724" s="38"/>
      <c r="AB724" s="38"/>
      <c r="AC724" s="38"/>
      <c r="AD724" s="38"/>
      <c r="AE724" s="38"/>
      <c r="AF724" s="38"/>
      <c r="AG724" s="38"/>
      <c r="AH724" s="38"/>
      <c r="AI724" s="38"/>
      <c r="AJ724" s="38"/>
    </row>
    <row r="725" spans="1:36" ht="15.75" customHeight="1" x14ac:dyDescent="0.2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  <c r="AA725" s="38"/>
      <c r="AB725" s="38"/>
      <c r="AC725" s="38"/>
      <c r="AD725" s="38"/>
      <c r="AE725" s="38"/>
      <c r="AF725" s="38"/>
      <c r="AG725" s="38"/>
      <c r="AH725" s="38"/>
      <c r="AI725" s="38"/>
      <c r="AJ725" s="38"/>
    </row>
    <row r="726" spans="1:36" ht="15.75" customHeight="1" x14ac:dyDescent="0.2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  <c r="AA726" s="38"/>
      <c r="AB726" s="38"/>
      <c r="AC726" s="38"/>
      <c r="AD726" s="38"/>
      <c r="AE726" s="38"/>
      <c r="AF726" s="38"/>
      <c r="AG726" s="38"/>
      <c r="AH726" s="38"/>
      <c r="AI726" s="38"/>
      <c r="AJ726" s="38"/>
    </row>
    <row r="727" spans="1:36" ht="15.75" customHeight="1" x14ac:dyDescent="0.2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  <c r="AA727" s="38"/>
      <c r="AB727" s="38"/>
      <c r="AC727" s="38"/>
      <c r="AD727" s="38"/>
      <c r="AE727" s="38"/>
      <c r="AF727" s="38"/>
      <c r="AG727" s="38"/>
      <c r="AH727" s="38"/>
      <c r="AI727" s="38"/>
      <c r="AJ727" s="38"/>
    </row>
    <row r="728" spans="1:36" ht="15.75" customHeight="1" x14ac:dyDescent="0.2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  <c r="AA728" s="38"/>
      <c r="AB728" s="38"/>
      <c r="AC728" s="38"/>
      <c r="AD728" s="38"/>
      <c r="AE728" s="38"/>
      <c r="AF728" s="38"/>
      <c r="AG728" s="38"/>
      <c r="AH728" s="38"/>
      <c r="AI728" s="38"/>
      <c r="AJ728" s="38"/>
    </row>
    <row r="729" spans="1:36" ht="15.75" customHeight="1" x14ac:dyDescent="0.2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  <c r="AA729" s="38"/>
      <c r="AB729" s="38"/>
      <c r="AC729" s="38"/>
      <c r="AD729" s="38"/>
      <c r="AE729" s="38"/>
      <c r="AF729" s="38"/>
      <c r="AG729" s="38"/>
      <c r="AH729" s="38"/>
      <c r="AI729" s="38"/>
      <c r="AJ729" s="38"/>
    </row>
    <row r="730" spans="1:36" ht="15.75" customHeight="1" x14ac:dyDescent="0.2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  <c r="AA730" s="38"/>
      <c r="AB730" s="38"/>
      <c r="AC730" s="38"/>
      <c r="AD730" s="38"/>
      <c r="AE730" s="38"/>
      <c r="AF730" s="38"/>
      <c r="AG730" s="38"/>
      <c r="AH730" s="38"/>
      <c r="AI730" s="38"/>
      <c r="AJ730" s="38"/>
    </row>
    <row r="731" spans="1:36" ht="15.75" customHeight="1" x14ac:dyDescent="0.2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  <c r="AA731" s="38"/>
      <c r="AB731" s="38"/>
      <c r="AC731" s="38"/>
      <c r="AD731" s="38"/>
      <c r="AE731" s="38"/>
      <c r="AF731" s="38"/>
      <c r="AG731" s="38"/>
      <c r="AH731" s="38"/>
      <c r="AI731" s="38"/>
      <c r="AJ731" s="38"/>
    </row>
    <row r="732" spans="1:36" ht="15.75" customHeight="1" x14ac:dyDescent="0.2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  <c r="AA732" s="38"/>
      <c r="AB732" s="38"/>
      <c r="AC732" s="38"/>
      <c r="AD732" s="38"/>
      <c r="AE732" s="38"/>
      <c r="AF732" s="38"/>
      <c r="AG732" s="38"/>
      <c r="AH732" s="38"/>
      <c r="AI732" s="38"/>
      <c r="AJ732" s="38"/>
    </row>
    <row r="733" spans="1:36" ht="15.75" customHeight="1" x14ac:dyDescent="0.2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  <c r="AA733" s="38"/>
      <c r="AB733" s="38"/>
      <c r="AC733" s="38"/>
      <c r="AD733" s="38"/>
      <c r="AE733" s="38"/>
      <c r="AF733" s="38"/>
      <c r="AG733" s="38"/>
      <c r="AH733" s="38"/>
      <c r="AI733" s="38"/>
      <c r="AJ733" s="38"/>
    </row>
    <row r="734" spans="1:36" ht="15.75" customHeight="1" x14ac:dyDescent="0.2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  <c r="AA734" s="38"/>
      <c r="AB734" s="38"/>
      <c r="AC734" s="38"/>
      <c r="AD734" s="38"/>
      <c r="AE734" s="38"/>
      <c r="AF734" s="38"/>
      <c r="AG734" s="38"/>
      <c r="AH734" s="38"/>
      <c r="AI734" s="38"/>
      <c r="AJ734" s="38"/>
    </row>
    <row r="735" spans="1:36" ht="15.75" customHeight="1" x14ac:dyDescent="0.2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  <c r="AA735" s="38"/>
      <c r="AB735" s="38"/>
      <c r="AC735" s="38"/>
      <c r="AD735" s="38"/>
      <c r="AE735" s="38"/>
      <c r="AF735" s="38"/>
      <c r="AG735" s="38"/>
      <c r="AH735" s="38"/>
      <c r="AI735" s="38"/>
      <c r="AJ735" s="38"/>
    </row>
    <row r="736" spans="1:36" ht="15.75" customHeight="1" x14ac:dyDescent="0.2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  <c r="AA736" s="38"/>
      <c r="AB736" s="38"/>
      <c r="AC736" s="38"/>
      <c r="AD736" s="38"/>
      <c r="AE736" s="38"/>
      <c r="AF736" s="38"/>
      <c r="AG736" s="38"/>
      <c r="AH736" s="38"/>
      <c r="AI736" s="38"/>
      <c r="AJ736" s="38"/>
    </row>
    <row r="737" spans="1:36" ht="15.75" customHeight="1" x14ac:dyDescent="0.2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  <c r="AA737" s="38"/>
      <c r="AB737" s="38"/>
      <c r="AC737" s="38"/>
      <c r="AD737" s="38"/>
      <c r="AE737" s="38"/>
      <c r="AF737" s="38"/>
      <c r="AG737" s="38"/>
      <c r="AH737" s="38"/>
      <c r="AI737" s="38"/>
      <c r="AJ737" s="38"/>
    </row>
    <row r="738" spans="1:36" ht="15.75" customHeight="1" x14ac:dyDescent="0.2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  <c r="AA738" s="38"/>
      <c r="AB738" s="38"/>
      <c r="AC738" s="38"/>
      <c r="AD738" s="38"/>
      <c r="AE738" s="38"/>
      <c r="AF738" s="38"/>
      <c r="AG738" s="38"/>
      <c r="AH738" s="38"/>
      <c r="AI738" s="38"/>
      <c r="AJ738" s="38"/>
    </row>
    <row r="739" spans="1:36" ht="15.75" customHeight="1" x14ac:dyDescent="0.2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  <c r="AA739" s="38"/>
      <c r="AB739" s="38"/>
      <c r="AC739" s="38"/>
      <c r="AD739" s="38"/>
      <c r="AE739" s="38"/>
      <c r="AF739" s="38"/>
      <c r="AG739" s="38"/>
      <c r="AH739" s="38"/>
      <c r="AI739" s="38"/>
      <c r="AJ739" s="38"/>
    </row>
    <row r="740" spans="1:36" ht="15.75" customHeight="1" x14ac:dyDescent="0.2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  <c r="AA740" s="38"/>
      <c r="AB740" s="38"/>
      <c r="AC740" s="38"/>
      <c r="AD740" s="38"/>
      <c r="AE740" s="38"/>
      <c r="AF740" s="38"/>
      <c r="AG740" s="38"/>
      <c r="AH740" s="38"/>
      <c r="AI740" s="38"/>
      <c r="AJ740" s="38"/>
    </row>
    <row r="741" spans="1:36" ht="15.75" customHeight="1" x14ac:dyDescent="0.2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  <c r="AA741" s="38"/>
      <c r="AB741" s="38"/>
      <c r="AC741" s="38"/>
      <c r="AD741" s="38"/>
      <c r="AE741" s="38"/>
      <c r="AF741" s="38"/>
      <c r="AG741" s="38"/>
      <c r="AH741" s="38"/>
      <c r="AI741" s="38"/>
      <c r="AJ741" s="38"/>
    </row>
    <row r="742" spans="1:36" ht="15.75" customHeight="1" x14ac:dyDescent="0.2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  <c r="AA742" s="38"/>
      <c r="AB742" s="38"/>
      <c r="AC742" s="38"/>
      <c r="AD742" s="38"/>
      <c r="AE742" s="38"/>
      <c r="AF742" s="38"/>
      <c r="AG742" s="38"/>
      <c r="AH742" s="38"/>
      <c r="AI742" s="38"/>
      <c r="AJ742" s="38"/>
    </row>
    <row r="743" spans="1:36" ht="15.75" customHeight="1" x14ac:dyDescent="0.2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  <c r="AA743" s="38"/>
      <c r="AB743" s="38"/>
      <c r="AC743" s="38"/>
      <c r="AD743" s="38"/>
      <c r="AE743" s="38"/>
      <c r="AF743" s="38"/>
      <c r="AG743" s="38"/>
      <c r="AH743" s="38"/>
      <c r="AI743" s="38"/>
      <c r="AJ743" s="38"/>
    </row>
    <row r="744" spans="1:36" ht="15.75" customHeight="1" x14ac:dyDescent="0.2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  <c r="AA744" s="38"/>
      <c r="AB744" s="38"/>
      <c r="AC744" s="38"/>
      <c r="AD744" s="38"/>
      <c r="AE744" s="38"/>
      <c r="AF744" s="38"/>
      <c r="AG744" s="38"/>
      <c r="AH744" s="38"/>
      <c r="AI744" s="38"/>
      <c r="AJ744" s="38"/>
    </row>
    <row r="745" spans="1:36" ht="15.75" customHeight="1" x14ac:dyDescent="0.2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  <c r="AA745" s="38"/>
      <c r="AB745" s="38"/>
      <c r="AC745" s="38"/>
      <c r="AD745" s="38"/>
      <c r="AE745" s="38"/>
      <c r="AF745" s="38"/>
      <c r="AG745" s="38"/>
      <c r="AH745" s="38"/>
      <c r="AI745" s="38"/>
      <c r="AJ745" s="38"/>
    </row>
    <row r="746" spans="1:36" ht="15.75" customHeight="1" x14ac:dyDescent="0.2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  <c r="AA746" s="38"/>
      <c r="AB746" s="38"/>
      <c r="AC746" s="38"/>
      <c r="AD746" s="38"/>
      <c r="AE746" s="38"/>
      <c r="AF746" s="38"/>
      <c r="AG746" s="38"/>
      <c r="AH746" s="38"/>
      <c r="AI746" s="38"/>
      <c r="AJ746" s="38"/>
    </row>
    <row r="747" spans="1:36" ht="15.75" customHeight="1" x14ac:dyDescent="0.2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  <c r="AA747" s="38"/>
      <c r="AB747" s="38"/>
      <c r="AC747" s="38"/>
      <c r="AD747" s="38"/>
      <c r="AE747" s="38"/>
      <c r="AF747" s="38"/>
      <c r="AG747" s="38"/>
      <c r="AH747" s="38"/>
      <c r="AI747" s="38"/>
      <c r="AJ747" s="38"/>
    </row>
    <row r="748" spans="1:36" ht="15.75" customHeight="1" x14ac:dyDescent="0.2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  <c r="AA748" s="38"/>
      <c r="AB748" s="38"/>
      <c r="AC748" s="38"/>
      <c r="AD748" s="38"/>
      <c r="AE748" s="38"/>
      <c r="AF748" s="38"/>
      <c r="AG748" s="38"/>
      <c r="AH748" s="38"/>
      <c r="AI748" s="38"/>
      <c r="AJ748" s="38"/>
    </row>
    <row r="749" spans="1:36" ht="15.75" customHeight="1" x14ac:dyDescent="0.2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  <c r="AA749" s="38"/>
      <c r="AB749" s="38"/>
      <c r="AC749" s="38"/>
      <c r="AD749" s="38"/>
      <c r="AE749" s="38"/>
      <c r="AF749" s="38"/>
      <c r="AG749" s="38"/>
      <c r="AH749" s="38"/>
      <c r="AI749" s="38"/>
      <c r="AJ749" s="38"/>
    </row>
    <row r="750" spans="1:36" ht="15.75" customHeight="1" x14ac:dyDescent="0.2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  <c r="AA750" s="38"/>
      <c r="AB750" s="38"/>
      <c r="AC750" s="38"/>
      <c r="AD750" s="38"/>
      <c r="AE750" s="38"/>
      <c r="AF750" s="38"/>
      <c r="AG750" s="38"/>
      <c r="AH750" s="38"/>
      <c r="AI750" s="38"/>
      <c r="AJ750" s="38"/>
    </row>
    <row r="751" spans="1:36" ht="15.75" customHeight="1" x14ac:dyDescent="0.2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  <c r="AA751" s="38"/>
      <c r="AB751" s="38"/>
      <c r="AC751" s="38"/>
      <c r="AD751" s="38"/>
      <c r="AE751" s="38"/>
      <c r="AF751" s="38"/>
      <c r="AG751" s="38"/>
      <c r="AH751" s="38"/>
      <c r="AI751" s="38"/>
      <c r="AJ751" s="38"/>
    </row>
    <row r="752" spans="1:36" ht="15.75" customHeight="1" x14ac:dyDescent="0.2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  <c r="AA752" s="38"/>
      <c r="AB752" s="38"/>
      <c r="AC752" s="38"/>
      <c r="AD752" s="38"/>
      <c r="AE752" s="38"/>
      <c r="AF752" s="38"/>
      <c r="AG752" s="38"/>
      <c r="AH752" s="38"/>
      <c r="AI752" s="38"/>
      <c r="AJ752" s="38"/>
    </row>
    <row r="753" spans="1:36" ht="15.75" customHeight="1" x14ac:dyDescent="0.2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  <c r="AA753" s="38"/>
      <c r="AB753" s="38"/>
      <c r="AC753" s="38"/>
      <c r="AD753" s="38"/>
      <c r="AE753" s="38"/>
      <c r="AF753" s="38"/>
      <c r="AG753" s="38"/>
      <c r="AH753" s="38"/>
      <c r="AI753" s="38"/>
      <c r="AJ753" s="38"/>
    </row>
    <row r="754" spans="1:36" ht="15.75" customHeight="1" x14ac:dyDescent="0.2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  <c r="AA754" s="38"/>
      <c r="AB754" s="38"/>
      <c r="AC754" s="38"/>
      <c r="AD754" s="38"/>
      <c r="AE754" s="38"/>
      <c r="AF754" s="38"/>
      <c r="AG754" s="38"/>
      <c r="AH754" s="38"/>
      <c r="AI754" s="38"/>
      <c r="AJ754" s="38"/>
    </row>
    <row r="755" spans="1:36" ht="15.75" customHeight="1" x14ac:dyDescent="0.2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  <c r="AA755" s="38"/>
      <c r="AB755" s="38"/>
      <c r="AC755" s="38"/>
      <c r="AD755" s="38"/>
      <c r="AE755" s="38"/>
      <c r="AF755" s="38"/>
      <c r="AG755" s="38"/>
      <c r="AH755" s="38"/>
      <c r="AI755" s="38"/>
      <c r="AJ755" s="38"/>
    </row>
    <row r="756" spans="1:36" ht="15.75" customHeight="1" x14ac:dyDescent="0.2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  <c r="AA756" s="38"/>
      <c r="AB756" s="38"/>
      <c r="AC756" s="38"/>
      <c r="AD756" s="38"/>
      <c r="AE756" s="38"/>
      <c r="AF756" s="38"/>
      <c r="AG756" s="38"/>
      <c r="AH756" s="38"/>
      <c r="AI756" s="38"/>
      <c r="AJ756" s="38"/>
    </row>
    <row r="757" spans="1:36" ht="15.75" customHeight="1" x14ac:dyDescent="0.2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  <c r="AA757" s="38"/>
      <c r="AB757" s="38"/>
      <c r="AC757" s="38"/>
      <c r="AD757" s="38"/>
      <c r="AE757" s="38"/>
      <c r="AF757" s="38"/>
      <c r="AG757" s="38"/>
      <c r="AH757" s="38"/>
      <c r="AI757" s="38"/>
      <c r="AJ757" s="38"/>
    </row>
    <row r="758" spans="1:36" ht="15.75" customHeight="1" x14ac:dyDescent="0.2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  <c r="AA758" s="38"/>
      <c r="AB758" s="38"/>
      <c r="AC758" s="38"/>
      <c r="AD758" s="38"/>
      <c r="AE758" s="38"/>
      <c r="AF758" s="38"/>
      <c r="AG758" s="38"/>
      <c r="AH758" s="38"/>
      <c r="AI758" s="38"/>
      <c r="AJ758" s="38"/>
    </row>
    <row r="759" spans="1:36" ht="15.75" customHeight="1" x14ac:dyDescent="0.2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  <c r="AA759" s="38"/>
      <c r="AB759" s="38"/>
      <c r="AC759" s="38"/>
      <c r="AD759" s="38"/>
      <c r="AE759" s="38"/>
      <c r="AF759" s="38"/>
      <c r="AG759" s="38"/>
      <c r="AH759" s="38"/>
      <c r="AI759" s="38"/>
      <c r="AJ759" s="38"/>
    </row>
    <row r="760" spans="1:36" ht="15.75" customHeight="1" x14ac:dyDescent="0.2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  <c r="AA760" s="38"/>
      <c r="AB760" s="38"/>
      <c r="AC760" s="38"/>
      <c r="AD760" s="38"/>
      <c r="AE760" s="38"/>
      <c r="AF760" s="38"/>
      <c r="AG760" s="38"/>
      <c r="AH760" s="38"/>
      <c r="AI760" s="38"/>
      <c r="AJ760" s="38"/>
    </row>
    <row r="761" spans="1:36" ht="15.75" customHeight="1" x14ac:dyDescent="0.2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  <c r="AA761" s="38"/>
      <c r="AB761" s="38"/>
      <c r="AC761" s="38"/>
      <c r="AD761" s="38"/>
      <c r="AE761" s="38"/>
      <c r="AF761" s="38"/>
      <c r="AG761" s="38"/>
      <c r="AH761" s="38"/>
      <c r="AI761" s="38"/>
      <c r="AJ761" s="38"/>
    </row>
    <row r="762" spans="1:36" ht="15.75" customHeight="1" x14ac:dyDescent="0.2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  <c r="AA762" s="38"/>
      <c r="AB762" s="38"/>
      <c r="AC762" s="38"/>
      <c r="AD762" s="38"/>
      <c r="AE762" s="38"/>
      <c r="AF762" s="38"/>
      <c r="AG762" s="38"/>
      <c r="AH762" s="38"/>
      <c r="AI762" s="38"/>
      <c r="AJ762" s="38"/>
    </row>
    <row r="763" spans="1:36" ht="15.75" customHeight="1" x14ac:dyDescent="0.2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  <c r="AA763" s="38"/>
      <c r="AB763" s="38"/>
      <c r="AC763" s="38"/>
      <c r="AD763" s="38"/>
      <c r="AE763" s="38"/>
      <c r="AF763" s="38"/>
      <c r="AG763" s="38"/>
      <c r="AH763" s="38"/>
      <c r="AI763" s="38"/>
      <c r="AJ763" s="38"/>
    </row>
    <row r="764" spans="1:36" ht="15.75" customHeight="1" x14ac:dyDescent="0.2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  <c r="AA764" s="38"/>
      <c r="AB764" s="38"/>
      <c r="AC764" s="38"/>
      <c r="AD764" s="38"/>
      <c r="AE764" s="38"/>
      <c r="AF764" s="38"/>
      <c r="AG764" s="38"/>
      <c r="AH764" s="38"/>
      <c r="AI764" s="38"/>
      <c r="AJ764" s="38"/>
    </row>
    <row r="765" spans="1:36" ht="15.75" customHeight="1" x14ac:dyDescent="0.2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  <c r="AA765" s="38"/>
      <c r="AB765" s="38"/>
      <c r="AC765" s="38"/>
      <c r="AD765" s="38"/>
      <c r="AE765" s="38"/>
      <c r="AF765" s="38"/>
      <c r="AG765" s="38"/>
      <c r="AH765" s="38"/>
      <c r="AI765" s="38"/>
      <c r="AJ765" s="38"/>
    </row>
    <row r="766" spans="1:36" ht="15.75" customHeight="1" x14ac:dyDescent="0.2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  <c r="AA766" s="38"/>
      <c r="AB766" s="38"/>
      <c r="AC766" s="38"/>
      <c r="AD766" s="38"/>
      <c r="AE766" s="38"/>
      <c r="AF766" s="38"/>
      <c r="AG766" s="38"/>
      <c r="AH766" s="38"/>
      <c r="AI766" s="38"/>
      <c r="AJ766" s="38"/>
    </row>
    <row r="767" spans="1:36" ht="15.75" customHeight="1" x14ac:dyDescent="0.2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  <c r="AA767" s="38"/>
      <c r="AB767" s="38"/>
      <c r="AC767" s="38"/>
      <c r="AD767" s="38"/>
      <c r="AE767" s="38"/>
      <c r="AF767" s="38"/>
      <c r="AG767" s="38"/>
      <c r="AH767" s="38"/>
      <c r="AI767" s="38"/>
      <c r="AJ767" s="38"/>
    </row>
    <row r="768" spans="1:36" ht="15.75" customHeight="1" x14ac:dyDescent="0.2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  <c r="AA768" s="38"/>
      <c r="AB768" s="38"/>
      <c r="AC768" s="38"/>
      <c r="AD768" s="38"/>
      <c r="AE768" s="38"/>
      <c r="AF768" s="38"/>
      <c r="AG768" s="38"/>
      <c r="AH768" s="38"/>
      <c r="AI768" s="38"/>
      <c r="AJ768" s="38"/>
    </row>
    <row r="769" spans="1:36" ht="15.75" customHeight="1" x14ac:dyDescent="0.2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  <c r="AA769" s="38"/>
      <c r="AB769" s="38"/>
      <c r="AC769" s="38"/>
      <c r="AD769" s="38"/>
      <c r="AE769" s="38"/>
      <c r="AF769" s="38"/>
      <c r="AG769" s="38"/>
      <c r="AH769" s="38"/>
      <c r="AI769" s="38"/>
      <c r="AJ769" s="38"/>
    </row>
    <row r="770" spans="1:36" ht="15.75" customHeight="1" x14ac:dyDescent="0.2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  <c r="AA770" s="38"/>
      <c r="AB770" s="38"/>
      <c r="AC770" s="38"/>
      <c r="AD770" s="38"/>
      <c r="AE770" s="38"/>
      <c r="AF770" s="38"/>
      <c r="AG770" s="38"/>
      <c r="AH770" s="38"/>
      <c r="AI770" s="38"/>
      <c r="AJ770" s="38"/>
    </row>
    <row r="771" spans="1:36" ht="15.75" customHeight="1" x14ac:dyDescent="0.2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  <c r="AA771" s="38"/>
      <c r="AB771" s="38"/>
      <c r="AC771" s="38"/>
      <c r="AD771" s="38"/>
      <c r="AE771" s="38"/>
      <c r="AF771" s="38"/>
      <c r="AG771" s="38"/>
      <c r="AH771" s="38"/>
      <c r="AI771" s="38"/>
      <c r="AJ771" s="38"/>
    </row>
    <row r="772" spans="1:36" ht="15.75" customHeight="1" x14ac:dyDescent="0.2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  <c r="AA772" s="38"/>
      <c r="AB772" s="38"/>
      <c r="AC772" s="38"/>
      <c r="AD772" s="38"/>
      <c r="AE772" s="38"/>
      <c r="AF772" s="38"/>
      <c r="AG772" s="38"/>
      <c r="AH772" s="38"/>
      <c r="AI772" s="38"/>
      <c r="AJ772" s="38"/>
    </row>
    <row r="773" spans="1:36" ht="15.75" customHeight="1" x14ac:dyDescent="0.2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  <c r="AA773" s="38"/>
      <c r="AB773" s="38"/>
      <c r="AC773" s="38"/>
      <c r="AD773" s="38"/>
      <c r="AE773" s="38"/>
      <c r="AF773" s="38"/>
      <c r="AG773" s="38"/>
      <c r="AH773" s="38"/>
      <c r="AI773" s="38"/>
      <c r="AJ773" s="38"/>
    </row>
    <row r="774" spans="1:36" ht="15.75" customHeight="1" x14ac:dyDescent="0.2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  <c r="AA774" s="38"/>
      <c r="AB774" s="38"/>
      <c r="AC774" s="38"/>
      <c r="AD774" s="38"/>
      <c r="AE774" s="38"/>
      <c r="AF774" s="38"/>
      <c r="AG774" s="38"/>
      <c r="AH774" s="38"/>
      <c r="AI774" s="38"/>
      <c r="AJ774" s="38"/>
    </row>
    <row r="775" spans="1:36" ht="15.75" customHeight="1" x14ac:dyDescent="0.2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  <c r="AA775" s="38"/>
      <c r="AB775" s="38"/>
      <c r="AC775" s="38"/>
      <c r="AD775" s="38"/>
      <c r="AE775" s="38"/>
      <c r="AF775" s="38"/>
      <c r="AG775" s="38"/>
      <c r="AH775" s="38"/>
      <c r="AI775" s="38"/>
      <c r="AJ775" s="38"/>
    </row>
    <row r="776" spans="1:36" ht="15.75" customHeight="1" x14ac:dyDescent="0.2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  <c r="AA776" s="38"/>
      <c r="AB776" s="38"/>
      <c r="AC776" s="38"/>
      <c r="AD776" s="38"/>
      <c r="AE776" s="38"/>
      <c r="AF776" s="38"/>
      <c r="AG776" s="38"/>
      <c r="AH776" s="38"/>
      <c r="AI776" s="38"/>
      <c r="AJ776" s="38"/>
    </row>
    <row r="777" spans="1:36" ht="15.75" customHeight="1" x14ac:dyDescent="0.2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  <c r="AA777" s="38"/>
      <c r="AB777" s="38"/>
      <c r="AC777" s="38"/>
      <c r="AD777" s="38"/>
      <c r="AE777" s="38"/>
      <c r="AF777" s="38"/>
      <c r="AG777" s="38"/>
      <c r="AH777" s="38"/>
      <c r="AI777" s="38"/>
      <c r="AJ777" s="38"/>
    </row>
    <row r="778" spans="1:36" ht="15.75" customHeight="1" x14ac:dyDescent="0.2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  <c r="AA778" s="38"/>
      <c r="AB778" s="38"/>
      <c r="AC778" s="38"/>
      <c r="AD778" s="38"/>
      <c r="AE778" s="38"/>
      <c r="AF778" s="38"/>
      <c r="AG778" s="38"/>
      <c r="AH778" s="38"/>
      <c r="AI778" s="38"/>
      <c r="AJ778" s="38"/>
    </row>
    <row r="779" spans="1:36" ht="15.75" customHeight="1" x14ac:dyDescent="0.2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  <c r="AA779" s="38"/>
      <c r="AB779" s="38"/>
      <c r="AC779" s="38"/>
      <c r="AD779" s="38"/>
      <c r="AE779" s="38"/>
      <c r="AF779" s="38"/>
      <c r="AG779" s="38"/>
      <c r="AH779" s="38"/>
      <c r="AI779" s="38"/>
      <c r="AJ779" s="38"/>
    </row>
    <row r="780" spans="1:36" ht="15.75" customHeight="1" x14ac:dyDescent="0.2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  <c r="AA780" s="38"/>
      <c r="AB780" s="38"/>
      <c r="AC780" s="38"/>
      <c r="AD780" s="38"/>
      <c r="AE780" s="38"/>
      <c r="AF780" s="38"/>
      <c r="AG780" s="38"/>
      <c r="AH780" s="38"/>
      <c r="AI780" s="38"/>
      <c r="AJ780" s="38"/>
    </row>
    <row r="781" spans="1:36" ht="15.75" customHeight="1" x14ac:dyDescent="0.2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  <c r="AA781" s="38"/>
      <c r="AB781" s="38"/>
      <c r="AC781" s="38"/>
      <c r="AD781" s="38"/>
      <c r="AE781" s="38"/>
      <c r="AF781" s="38"/>
      <c r="AG781" s="38"/>
      <c r="AH781" s="38"/>
      <c r="AI781" s="38"/>
      <c r="AJ781" s="38"/>
    </row>
    <row r="782" spans="1:36" ht="15.75" customHeight="1" x14ac:dyDescent="0.2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  <c r="AA782" s="38"/>
      <c r="AB782" s="38"/>
      <c r="AC782" s="38"/>
      <c r="AD782" s="38"/>
      <c r="AE782" s="38"/>
      <c r="AF782" s="38"/>
      <c r="AG782" s="38"/>
      <c r="AH782" s="38"/>
      <c r="AI782" s="38"/>
      <c r="AJ782" s="38"/>
    </row>
    <row r="783" spans="1:36" ht="15.75" customHeight="1" x14ac:dyDescent="0.2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  <c r="AA783" s="38"/>
      <c r="AB783" s="38"/>
      <c r="AC783" s="38"/>
      <c r="AD783" s="38"/>
      <c r="AE783" s="38"/>
      <c r="AF783" s="38"/>
      <c r="AG783" s="38"/>
      <c r="AH783" s="38"/>
      <c r="AI783" s="38"/>
      <c r="AJ783" s="38"/>
    </row>
    <row r="784" spans="1:36" ht="15.75" customHeight="1" x14ac:dyDescent="0.2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  <c r="AA784" s="38"/>
      <c r="AB784" s="38"/>
      <c r="AC784" s="38"/>
      <c r="AD784" s="38"/>
      <c r="AE784" s="38"/>
      <c r="AF784" s="38"/>
      <c r="AG784" s="38"/>
      <c r="AH784" s="38"/>
      <c r="AI784" s="38"/>
      <c r="AJ784" s="38"/>
    </row>
    <row r="785" spans="1:36" ht="15.75" customHeight="1" x14ac:dyDescent="0.2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  <c r="AA785" s="38"/>
      <c r="AB785" s="38"/>
      <c r="AC785" s="38"/>
      <c r="AD785" s="38"/>
      <c r="AE785" s="38"/>
      <c r="AF785" s="38"/>
      <c r="AG785" s="38"/>
      <c r="AH785" s="38"/>
      <c r="AI785" s="38"/>
      <c r="AJ785" s="38"/>
    </row>
    <row r="786" spans="1:36" ht="15.75" customHeight="1" x14ac:dyDescent="0.2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  <c r="AA786" s="38"/>
      <c r="AB786" s="38"/>
      <c r="AC786" s="38"/>
      <c r="AD786" s="38"/>
      <c r="AE786" s="38"/>
      <c r="AF786" s="38"/>
      <c r="AG786" s="38"/>
      <c r="AH786" s="38"/>
      <c r="AI786" s="38"/>
      <c r="AJ786" s="38"/>
    </row>
    <row r="787" spans="1:36" ht="15.75" customHeight="1" x14ac:dyDescent="0.2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  <c r="AA787" s="38"/>
      <c r="AB787" s="38"/>
      <c r="AC787" s="38"/>
      <c r="AD787" s="38"/>
      <c r="AE787" s="38"/>
      <c r="AF787" s="38"/>
      <c r="AG787" s="38"/>
      <c r="AH787" s="38"/>
      <c r="AI787" s="38"/>
      <c r="AJ787" s="38"/>
    </row>
    <row r="788" spans="1:36" ht="15.75" customHeight="1" x14ac:dyDescent="0.2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  <c r="AA788" s="38"/>
      <c r="AB788" s="38"/>
      <c r="AC788" s="38"/>
      <c r="AD788" s="38"/>
      <c r="AE788" s="38"/>
      <c r="AF788" s="38"/>
      <c r="AG788" s="38"/>
      <c r="AH788" s="38"/>
      <c r="AI788" s="38"/>
      <c r="AJ788" s="38"/>
    </row>
    <row r="789" spans="1:36" ht="15.75" customHeight="1" x14ac:dyDescent="0.2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  <c r="AA789" s="38"/>
      <c r="AB789" s="38"/>
      <c r="AC789" s="38"/>
      <c r="AD789" s="38"/>
      <c r="AE789" s="38"/>
      <c r="AF789" s="38"/>
      <c r="AG789" s="38"/>
      <c r="AH789" s="38"/>
      <c r="AI789" s="38"/>
      <c r="AJ789" s="38"/>
    </row>
    <row r="790" spans="1:36" ht="15.75" customHeight="1" x14ac:dyDescent="0.2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  <c r="AA790" s="38"/>
      <c r="AB790" s="38"/>
      <c r="AC790" s="38"/>
      <c r="AD790" s="38"/>
      <c r="AE790" s="38"/>
      <c r="AF790" s="38"/>
      <c r="AG790" s="38"/>
      <c r="AH790" s="38"/>
      <c r="AI790" s="38"/>
      <c r="AJ790" s="38"/>
    </row>
    <row r="791" spans="1:36" ht="15.75" customHeight="1" x14ac:dyDescent="0.2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  <c r="AA791" s="38"/>
      <c r="AB791" s="38"/>
      <c r="AC791" s="38"/>
      <c r="AD791" s="38"/>
      <c r="AE791" s="38"/>
      <c r="AF791" s="38"/>
      <c r="AG791" s="38"/>
      <c r="AH791" s="38"/>
      <c r="AI791" s="38"/>
      <c r="AJ791" s="38"/>
    </row>
    <row r="792" spans="1:36" ht="15.75" customHeight="1" x14ac:dyDescent="0.2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  <c r="AA792" s="38"/>
      <c r="AB792" s="38"/>
      <c r="AC792" s="38"/>
      <c r="AD792" s="38"/>
      <c r="AE792" s="38"/>
      <c r="AF792" s="38"/>
      <c r="AG792" s="38"/>
      <c r="AH792" s="38"/>
      <c r="AI792" s="38"/>
      <c r="AJ792" s="38"/>
    </row>
    <row r="793" spans="1:36" ht="15.75" customHeight="1" x14ac:dyDescent="0.2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  <c r="AA793" s="38"/>
      <c r="AB793" s="38"/>
      <c r="AC793" s="38"/>
      <c r="AD793" s="38"/>
      <c r="AE793" s="38"/>
      <c r="AF793" s="38"/>
      <c r="AG793" s="38"/>
      <c r="AH793" s="38"/>
      <c r="AI793" s="38"/>
      <c r="AJ793" s="38"/>
    </row>
    <row r="794" spans="1:36" ht="15.75" customHeight="1" x14ac:dyDescent="0.2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  <c r="AA794" s="38"/>
      <c r="AB794" s="38"/>
      <c r="AC794" s="38"/>
      <c r="AD794" s="38"/>
      <c r="AE794" s="38"/>
      <c r="AF794" s="38"/>
      <c r="AG794" s="38"/>
      <c r="AH794" s="38"/>
      <c r="AI794" s="38"/>
      <c r="AJ794" s="38"/>
    </row>
    <row r="795" spans="1:36" ht="15.75" customHeight="1" x14ac:dyDescent="0.2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  <c r="AA795" s="38"/>
      <c r="AB795" s="38"/>
      <c r="AC795" s="38"/>
      <c r="AD795" s="38"/>
      <c r="AE795" s="38"/>
      <c r="AF795" s="38"/>
      <c r="AG795" s="38"/>
      <c r="AH795" s="38"/>
      <c r="AI795" s="38"/>
      <c r="AJ795" s="38"/>
    </row>
    <row r="796" spans="1:36" ht="15.75" customHeight="1" x14ac:dyDescent="0.2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  <c r="AA796" s="38"/>
      <c r="AB796" s="38"/>
      <c r="AC796" s="38"/>
      <c r="AD796" s="38"/>
      <c r="AE796" s="38"/>
      <c r="AF796" s="38"/>
      <c r="AG796" s="38"/>
      <c r="AH796" s="38"/>
      <c r="AI796" s="38"/>
      <c r="AJ796" s="38"/>
    </row>
    <row r="797" spans="1:36" ht="15.75" customHeight="1" x14ac:dyDescent="0.2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  <c r="AA797" s="38"/>
      <c r="AB797" s="38"/>
      <c r="AC797" s="38"/>
      <c r="AD797" s="38"/>
      <c r="AE797" s="38"/>
      <c r="AF797" s="38"/>
      <c r="AG797" s="38"/>
      <c r="AH797" s="38"/>
      <c r="AI797" s="38"/>
      <c r="AJ797" s="38"/>
    </row>
    <row r="798" spans="1:36" ht="15.75" customHeight="1" x14ac:dyDescent="0.2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  <c r="AA798" s="38"/>
      <c r="AB798" s="38"/>
      <c r="AC798" s="38"/>
      <c r="AD798" s="38"/>
      <c r="AE798" s="38"/>
      <c r="AF798" s="38"/>
      <c r="AG798" s="38"/>
      <c r="AH798" s="38"/>
      <c r="AI798" s="38"/>
      <c r="AJ798" s="38"/>
    </row>
    <row r="799" spans="1:36" ht="15.75" customHeight="1" x14ac:dyDescent="0.2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  <c r="AA799" s="38"/>
      <c r="AB799" s="38"/>
      <c r="AC799" s="38"/>
      <c r="AD799" s="38"/>
      <c r="AE799" s="38"/>
      <c r="AF799" s="38"/>
      <c r="AG799" s="38"/>
      <c r="AH799" s="38"/>
      <c r="AI799" s="38"/>
      <c r="AJ799" s="38"/>
    </row>
    <row r="800" spans="1:36" ht="15.75" customHeight="1" x14ac:dyDescent="0.2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  <c r="AA800" s="38"/>
      <c r="AB800" s="38"/>
      <c r="AC800" s="38"/>
      <c r="AD800" s="38"/>
      <c r="AE800" s="38"/>
      <c r="AF800" s="38"/>
      <c r="AG800" s="38"/>
      <c r="AH800" s="38"/>
      <c r="AI800" s="38"/>
      <c r="AJ800" s="38"/>
    </row>
    <row r="801" spans="1:36" ht="15.75" customHeight="1" x14ac:dyDescent="0.2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  <c r="AA801" s="38"/>
      <c r="AB801" s="38"/>
      <c r="AC801" s="38"/>
      <c r="AD801" s="38"/>
      <c r="AE801" s="38"/>
      <c r="AF801" s="38"/>
      <c r="AG801" s="38"/>
      <c r="AH801" s="38"/>
      <c r="AI801" s="38"/>
      <c r="AJ801" s="38"/>
    </row>
    <row r="802" spans="1:36" ht="15.75" customHeight="1" x14ac:dyDescent="0.2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  <c r="AA802" s="38"/>
      <c r="AB802" s="38"/>
      <c r="AC802" s="38"/>
      <c r="AD802" s="38"/>
      <c r="AE802" s="38"/>
      <c r="AF802" s="38"/>
      <c r="AG802" s="38"/>
      <c r="AH802" s="38"/>
      <c r="AI802" s="38"/>
      <c r="AJ802" s="38"/>
    </row>
    <row r="803" spans="1:36" ht="15.75" customHeight="1" x14ac:dyDescent="0.2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  <c r="AA803" s="38"/>
      <c r="AB803" s="38"/>
      <c r="AC803" s="38"/>
      <c r="AD803" s="38"/>
      <c r="AE803" s="38"/>
      <c r="AF803" s="38"/>
      <c r="AG803" s="38"/>
      <c r="AH803" s="38"/>
      <c r="AI803" s="38"/>
      <c r="AJ803" s="38"/>
    </row>
    <row r="804" spans="1:36" ht="15.75" customHeight="1" x14ac:dyDescent="0.2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  <c r="AA804" s="38"/>
      <c r="AB804" s="38"/>
      <c r="AC804" s="38"/>
      <c r="AD804" s="38"/>
      <c r="AE804" s="38"/>
      <c r="AF804" s="38"/>
      <c r="AG804" s="38"/>
      <c r="AH804" s="38"/>
      <c r="AI804" s="38"/>
      <c r="AJ804" s="38"/>
    </row>
    <row r="805" spans="1:36" ht="15.75" customHeight="1" x14ac:dyDescent="0.2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  <c r="AA805" s="38"/>
      <c r="AB805" s="38"/>
      <c r="AC805" s="38"/>
      <c r="AD805" s="38"/>
      <c r="AE805" s="38"/>
      <c r="AF805" s="38"/>
      <c r="AG805" s="38"/>
      <c r="AH805" s="38"/>
      <c r="AI805" s="38"/>
      <c r="AJ805" s="38"/>
    </row>
    <row r="806" spans="1:36" ht="15.75" customHeight="1" x14ac:dyDescent="0.2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  <c r="AA806" s="38"/>
      <c r="AB806" s="38"/>
      <c r="AC806" s="38"/>
      <c r="AD806" s="38"/>
      <c r="AE806" s="38"/>
      <c r="AF806" s="38"/>
      <c r="AG806" s="38"/>
      <c r="AH806" s="38"/>
      <c r="AI806" s="38"/>
      <c r="AJ806" s="38"/>
    </row>
    <row r="807" spans="1:36" ht="15.75" customHeight="1" x14ac:dyDescent="0.2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  <c r="AA807" s="38"/>
      <c r="AB807" s="38"/>
      <c r="AC807" s="38"/>
      <c r="AD807" s="38"/>
      <c r="AE807" s="38"/>
      <c r="AF807" s="38"/>
      <c r="AG807" s="38"/>
      <c r="AH807" s="38"/>
      <c r="AI807" s="38"/>
      <c r="AJ807" s="38"/>
    </row>
    <row r="808" spans="1:36" ht="15.75" customHeight="1" x14ac:dyDescent="0.2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  <c r="AA808" s="38"/>
      <c r="AB808" s="38"/>
      <c r="AC808" s="38"/>
      <c r="AD808" s="38"/>
      <c r="AE808" s="38"/>
      <c r="AF808" s="38"/>
      <c r="AG808" s="38"/>
      <c r="AH808" s="38"/>
      <c r="AI808" s="38"/>
      <c r="AJ808" s="38"/>
    </row>
    <row r="809" spans="1:36" ht="15.75" customHeight="1" x14ac:dyDescent="0.2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  <c r="AA809" s="38"/>
      <c r="AB809" s="38"/>
      <c r="AC809" s="38"/>
      <c r="AD809" s="38"/>
      <c r="AE809" s="38"/>
      <c r="AF809" s="38"/>
      <c r="AG809" s="38"/>
      <c r="AH809" s="38"/>
      <c r="AI809" s="38"/>
      <c r="AJ809" s="38"/>
    </row>
    <row r="810" spans="1:36" ht="15.75" customHeight="1" x14ac:dyDescent="0.2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  <c r="AA810" s="38"/>
      <c r="AB810" s="38"/>
      <c r="AC810" s="38"/>
      <c r="AD810" s="38"/>
      <c r="AE810" s="38"/>
      <c r="AF810" s="38"/>
      <c r="AG810" s="38"/>
      <c r="AH810" s="38"/>
      <c r="AI810" s="38"/>
      <c r="AJ810" s="38"/>
    </row>
    <row r="811" spans="1:36" ht="15.75" customHeight="1" x14ac:dyDescent="0.2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  <c r="AA811" s="38"/>
      <c r="AB811" s="38"/>
      <c r="AC811" s="38"/>
      <c r="AD811" s="38"/>
      <c r="AE811" s="38"/>
      <c r="AF811" s="38"/>
      <c r="AG811" s="38"/>
      <c r="AH811" s="38"/>
      <c r="AI811" s="38"/>
      <c r="AJ811" s="38"/>
    </row>
    <row r="812" spans="1:36" ht="15.75" customHeight="1" x14ac:dyDescent="0.2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  <c r="AA812" s="38"/>
      <c r="AB812" s="38"/>
      <c r="AC812" s="38"/>
      <c r="AD812" s="38"/>
      <c r="AE812" s="38"/>
      <c r="AF812" s="38"/>
      <c r="AG812" s="38"/>
      <c r="AH812" s="38"/>
      <c r="AI812" s="38"/>
      <c r="AJ812" s="38"/>
    </row>
    <row r="813" spans="1:36" ht="15.75" customHeight="1" x14ac:dyDescent="0.2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  <c r="AA813" s="38"/>
      <c r="AB813" s="38"/>
      <c r="AC813" s="38"/>
      <c r="AD813" s="38"/>
      <c r="AE813" s="38"/>
      <c r="AF813" s="38"/>
      <c r="AG813" s="38"/>
      <c r="AH813" s="38"/>
      <c r="AI813" s="38"/>
      <c r="AJ813" s="38"/>
    </row>
    <row r="814" spans="1:36" ht="15.75" customHeight="1" x14ac:dyDescent="0.2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  <c r="AA814" s="38"/>
      <c r="AB814" s="38"/>
      <c r="AC814" s="38"/>
      <c r="AD814" s="38"/>
      <c r="AE814" s="38"/>
      <c r="AF814" s="38"/>
      <c r="AG814" s="38"/>
      <c r="AH814" s="38"/>
      <c r="AI814" s="38"/>
      <c r="AJ814" s="38"/>
    </row>
    <row r="815" spans="1:36" ht="15.75" customHeight="1" x14ac:dyDescent="0.2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  <c r="AA815" s="38"/>
      <c r="AB815" s="38"/>
      <c r="AC815" s="38"/>
      <c r="AD815" s="38"/>
      <c r="AE815" s="38"/>
      <c r="AF815" s="38"/>
      <c r="AG815" s="38"/>
      <c r="AH815" s="38"/>
      <c r="AI815" s="38"/>
      <c r="AJ815" s="38"/>
    </row>
    <row r="816" spans="1:36" ht="15.75" customHeight="1" x14ac:dyDescent="0.2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  <c r="AA816" s="38"/>
      <c r="AB816" s="38"/>
      <c r="AC816" s="38"/>
      <c r="AD816" s="38"/>
      <c r="AE816" s="38"/>
      <c r="AF816" s="38"/>
      <c r="AG816" s="38"/>
      <c r="AH816" s="38"/>
      <c r="AI816" s="38"/>
      <c r="AJ816" s="38"/>
    </row>
    <row r="817" spans="1:36" ht="15.75" customHeight="1" x14ac:dyDescent="0.2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  <c r="AA817" s="38"/>
      <c r="AB817" s="38"/>
      <c r="AC817" s="38"/>
      <c r="AD817" s="38"/>
      <c r="AE817" s="38"/>
      <c r="AF817" s="38"/>
      <c r="AG817" s="38"/>
      <c r="AH817" s="38"/>
      <c r="AI817" s="38"/>
      <c r="AJ817" s="38"/>
    </row>
    <row r="818" spans="1:36" ht="15.75" customHeight="1" x14ac:dyDescent="0.2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  <c r="AA818" s="38"/>
      <c r="AB818" s="38"/>
      <c r="AC818" s="38"/>
      <c r="AD818" s="38"/>
      <c r="AE818" s="38"/>
      <c r="AF818" s="38"/>
      <c r="AG818" s="38"/>
      <c r="AH818" s="38"/>
      <c r="AI818" s="38"/>
      <c r="AJ818" s="38"/>
    </row>
    <row r="819" spans="1:36" ht="15.75" customHeight="1" x14ac:dyDescent="0.2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  <c r="AA819" s="38"/>
      <c r="AB819" s="38"/>
      <c r="AC819" s="38"/>
      <c r="AD819" s="38"/>
      <c r="AE819" s="38"/>
      <c r="AF819" s="38"/>
      <c r="AG819" s="38"/>
      <c r="AH819" s="38"/>
      <c r="AI819" s="38"/>
      <c r="AJ819" s="38"/>
    </row>
    <row r="820" spans="1:36" ht="15.75" customHeight="1" x14ac:dyDescent="0.2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  <c r="AA820" s="38"/>
      <c r="AB820" s="38"/>
      <c r="AC820" s="38"/>
      <c r="AD820" s="38"/>
      <c r="AE820" s="38"/>
      <c r="AF820" s="38"/>
      <c r="AG820" s="38"/>
      <c r="AH820" s="38"/>
      <c r="AI820" s="38"/>
      <c r="AJ820" s="38"/>
    </row>
    <row r="821" spans="1:36" ht="15.75" customHeight="1" x14ac:dyDescent="0.2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  <c r="AA821" s="38"/>
      <c r="AB821" s="38"/>
      <c r="AC821" s="38"/>
      <c r="AD821" s="38"/>
      <c r="AE821" s="38"/>
      <c r="AF821" s="38"/>
      <c r="AG821" s="38"/>
      <c r="AH821" s="38"/>
      <c r="AI821" s="38"/>
      <c r="AJ821" s="38"/>
    </row>
    <row r="822" spans="1:36" ht="15.75" customHeight="1" x14ac:dyDescent="0.2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  <c r="AA822" s="38"/>
      <c r="AB822" s="38"/>
      <c r="AC822" s="38"/>
      <c r="AD822" s="38"/>
      <c r="AE822" s="38"/>
      <c r="AF822" s="38"/>
      <c r="AG822" s="38"/>
      <c r="AH822" s="38"/>
      <c r="AI822" s="38"/>
      <c r="AJ822" s="38"/>
    </row>
    <row r="823" spans="1:36" ht="15.75" customHeight="1" x14ac:dyDescent="0.2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  <c r="AA823" s="38"/>
      <c r="AB823" s="38"/>
      <c r="AC823" s="38"/>
      <c r="AD823" s="38"/>
      <c r="AE823" s="38"/>
      <c r="AF823" s="38"/>
      <c r="AG823" s="38"/>
      <c r="AH823" s="38"/>
      <c r="AI823" s="38"/>
      <c r="AJ823" s="38"/>
    </row>
    <row r="824" spans="1:36" ht="15.75" customHeight="1" x14ac:dyDescent="0.2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  <c r="AA824" s="38"/>
      <c r="AB824" s="38"/>
      <c r="AC824" s="38"/>
      <c r="AD824" s="38"/>
      <c r="AE824" s="38"/>
      <c r="AF824" s="38"/>
      <c r="AG824" s="38"/>
      <c r="AH824" s="38"/>
      <c r="AI824" s="38"/>
      <c r="AJ824" s="38"/>
    </row>
    <row r="825" spans="1:36" ht="15.75" customHeight="1" x14ac:dyDescent="0.2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  <c r="AA825" s="38"/>
      <c r="AB825" s="38"/>
      <c r="AC825" s="38"/>
      <c r="AD825" s="38"/>
      <c r="AE825" s="38"/>
      <c r="AF825" s="38"/>
      <c r="AG825" s="38"/>
      <c r="AH825" s="38"/>
      <c r="AI825" s="38"/>
      <c r="AJ825" s="38"/>
    </row>
    <row r="826" spans="1:36" ht="15.75" customHeight="1" x14ac:dyDescent="0.2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  <c r="AA826" s="38"/>
      <c r="AB826" s="38"/>
      <c r="AC826" s="38"/>
      <c r="AD826" s="38"/>
      <c r="AE826" s="38"/>
      <c r="AF826" s="38"/>
      <c r="AG826" s="38"/>
      <c r="AH826" s="38"/>
      <c r="AI826" s="38"/>
      <c r="AJ826" s="38"/>
    </row>
    <row r="827" spans="1:36" ht="15.75" customHeight="1" x14ac:dyDescent="0.2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  <c r="AA827" s="38"/>
      <c r="AB827" s="38"/>
      <c r="AC827" s="38"/>
      <c r="AD827" s="38"/>
      <c r="AE827" s="38"/>
      <c r="AF827" s="38"/>
      <c r="AG827" s="38"/>
      <c r="AH827" s="38"/>
      <c r="AI827" s="38"/>
      <c r="AJ827" s="38"/>
    </row>
    <row r="828" spans="1:36" ht="15.75" customHeight="1" x14ac:dyDescent="0.2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  <c r="AA828" s="38"/>
      <c r="AB828" s="38"/>
      <c r="AC828" s="38"/>
      <c r="AD828" s="38"/>
      <c r="AE828" s="38"/>
      <c r="AF828" s="38"/>
      <c r="AG828" s="38"/>
      <c r="AH828" s="38"/>
      <c r="AI828" s="38"/>
      <c r="AJ828" s="38"/>
    </row>
    <row r="829" spans="1:36" ht="15.75" customHeight="1" x14ac:dyDescent="0.2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  <c r="AA829" s="38"/>
      <c r="AB829" s="38"/>
      <c r="AC829" s="38"/>
      <c r="AD829" s="38"/>
      <c r="AE829" s="38"/>
      <c r="AF829" s="38"/>
      <c r="AG829" s="38"/>
      <c r="AH829" s="38"/>
      <c r="AI829" s="38"/>
      <c r="AJ829" s="38"/>
    </row>
    <row r="830" spans="1:36" ht="15.75" customHeight="1" x14ac:dyDescent="0.2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  <c r="AA830" s="38"/>
      <c r="AB830" s="38"/>
      <c r="AC830" s="38"/>
      <c r="AD830" s="38"/>
      <c r="AE830" s="38"/>
      <c r="AF830" s="38"/>
      <c r="AG830" s="38"/>
      <c r="AH830" s="38"/>
      <c r="AI830" s="38"/>
      <c r="AJ830" s="38"/>
    </row>
    <row r="831" spans="1:36" ht="15.75" customHeight="1" x14ac:dyDescent="0.2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  <c r="AA831" s="38"/>
      <c r="AB831" s="38"/>
      <c r="AC831" s="38"/>
      <c r="AD831" s="38"/>
      <c r="AE831" s="38"/>
      <c r="AF831" s="38"/>
      <c r="AG831" s="38"/>
      <c r="AH831" s="38"/>
      <c r="AI831" s="38"/>
      <c r="AJ831" s="38"/>
    </row>
    <row r="832" spans="1:36" ht="15.75" customHeight="1" x14ac:dyDescent="0.2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  <c r="AA832" s="38"/>
      <c r="AB832" s="38"/>
      <c r="AC832" s="38"/>
      <c r="AD832" s="38"/>
      <c r="AE832" s="38"/>
      <c r="AF832" s="38"/>
      <c r="AG832" s="38"/>
      <c r="AH832" s="38"/>
      <c r="AI832" s="38"/>
      <c r="AJ832" s="38"/>
    </row>
    <row r="833" spans="1:36" ht="15.75" customHeight="1" x14ac:dyDescent="0.2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  <c r="AA833" s="38"/>
      <c r="AB833" s="38"/>
      <c r="AC833" s="38"/>
      <c r="AD833" s="38"/>
      <c r="AE833" s="38"/>
      <c r="AF833" s="38"/>
      <c r="AG833" s="38"/>
      <c r="AH833" s="38"/>
      <c r="AI833" s="38"/>
      <c r="AJ833" s="38"/>
    </row>
    <row r="834" spans="1:36" ht="15.75" customHeight="1" x14ac:dyDescent="0.2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  <c r="AA834" s="38"/>
      <c r="AB834" s="38"/>
      <c r="AC834" s="38"/>
      <c r="AD834" s="38"/>
      <c r="AE834" s="38"/>
      <c r="AF834" s="38"/>
      <c r="AG834" s="38"/>
      <c r="AH834" s="38"/>
      <c r="AI834" s="38"/>
      <c r="AJ834" s="38"/>
    </row>
    <row r="835" spans="1:36" ht="15.75" customHeight="1" x14ac:dyDescent="0.2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  <c r="AA835" s="38"/>
      <c r="AB835" s="38"/>
      <c r="AC835" s="38"/>
      <c r="AD835" s="38"/>
      <c r="AE835" s="38"/>
      <c r="AF835" s="38"/>
      <c r="AG835" s="38"/>
      <c r="AH835" s="38"/>
      <c r="AI835" s="38"/>
      <c r="AJ835" s="38"/>
    </row>
    <row r="836" spans="1:36" ht="15.75" customHeight="1" x14ac:dyDescent="0.2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  <c r="AA836" s="38"/>
      <c r="AB836" s="38"/>
      <c r="AC836" s="38"/>
      <c r="AD836" s="38"/>
      <c r="AE836" s="38"/>
      <c r="AF836" s="38"/>
      <c r="AG836" s="38"/>
      <c r="AH836" s="38"/>
      <c r="AI836" s="38"/>
      <c r="AJ836" s="38"/>
    </row>
    <row r="837" spans="1:36" ht="15.75" customHeight="1" x14ac:dyDescent="0.2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  <c r="AA837" s="38"/>
      <c r="AB837" s="38"/>
      <c r="AC837" s="38"/>
      <c r="AD837" s="38"/>
      <c r="AE837" s="38"/>
      <c r="AF837" s="38"/>
      <c r="AG837" s="38"/>
      <c r="AH837" s="38"/>
      <c r="AI837" s="38"/>
      <c r="AJ837" s="38"/>
    </row>
    <row r="838" spans="1:36" ht="15.75" customHeight="1" x14ac:dyDescent="0.2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  <c r="AA838" s="38"/>
      <c r="AB838" s="38"/>
      <c r="AC838" s="38"/>
      <c r="AD838" s="38"/>
      <c r="AE838" s="38"/>
      <c r="AF838" s="38"/>
      <c r="AG838" s="38"/>
      <c r="AH838" s="38"/>
      <c r="AI838" s="38"/>
      <c r="AJ838" s="38"/>
    </row>
    <row r="839" spans="1:36" ht="15.75" customHeight="1" x14ac:dyDescent="0.2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  <c r="AA839" s="38"/>
      <c r="AB839" s="38"/>
      <c r="AC839" s="38"/>
      <c r="AD839" s="38"/>
      <c r="AE839" s="38"/>
      <c r="AF839" s="38"/>
      <c r="AG839" s="38"/>
      <c r="AH839" s="38"/>
      <c r="AI839" s="38"/>
      <c r="AJ839" s="38"/>
    </row>
    <row r="840" spans="1:36" ht="15.75" customHeight="1" x14ac:dyDescent="0.2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  <c r="AA840" s="38"/>
      <c r="AB840" s="38"/>
      <c r="AC840" s="38"/>
      <c r="AD840" s="38"/>
      <c r="AE840" s="38"/>
      <c r="AF840" s="38"/>
      <c r="AG840" s="38"/>
      <c r="AH840" s="38"/>
      <c r="AI840" s="38"/>
      <c r="AJ840" s="38"/>
    </row>
    <row r="841" spans="1:36" ht="15.75" customHeight="1" x14ac:dyDescent="0.2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  <c r="AA841" s="38"/>
      <c r="AB841" s="38"/>
      <c r="AC841" s="38"/>
      <c r="AD841" s="38"/>
      <c r="AE841" s="38"/>
      <c r="AF841" s="38"/>
      <c r="AG841" s="38"/>
      <c r="AH841" s="38"/>
      <c r="AI841" s="38"/>
      <c r="AJ841" s="38"/>
    </row>
    <row r="842" spans="1:36" ht="15.75" customHeight="1" x14ac:dyDescent="0.2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  <c r="AA842" s="38"/>
      <c r="AB842" s="38"/>
      <c r="AC842" s="38"/>
      <c r="AD842" s="38"/>
      <c r="AE842" s="38"/>
      <c r="AF842" s="38"/>
      <c r="AG842" s="38"/>
      <c r="AH842" s="38"/>
      <c r="AI842" s="38"/>
      <c r="AJ842" s="38"/>
    </row>
    <row r="843" spans="1:36" ht="15.75" customHeight="1" x14ac:dyDescent="0.2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  <c r="AA843" s="38"/>
      <c r="AB843" s="38"/>
      <c r="AC843" s="38"/>
      <c r="AD843" s="38"/>
      <c r="AE843" s="38"/>
      <c r="AF843" s="38"/>
      <c r="AG843" s="38"/>
      <c r="AH843" s="38"/>
      <c r="AI843" s="38"/>
      <c r="AJ843" s="38"/>
    </row>
    <row r="844" spans="1:36" ht="15.75" customHeight="1" x14ac:dyDescent="0.2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  <c r="AA844" s="38"/>
      <c r="AB844" s="38"/>
      <c r="AC844" s="38"/>
      <c r="AD844" s="38"/>
      <c r="AE844" s="38"/>
      <c r="AF844" s="38"/>
      <c r="AG844" s="38"/>
      <c r="AH844" s="38"/>
      <c r="AI844" s="38"/>
      <c r="AJ844" s="38"/>
    </row>
    <row r="845" spans="1:36" ht="15.75" customHeight="1" x14ac:dyDescent="0.2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  <c r="AA845" s="38"/>
      <c r="AB845" s="38"/>
      <c r="AC845" s="38"/>
      <c r="AD845" s="38"/>
      <c r="AE845" s="38"/>
      <c r="AF845" s="38"/>
      <c r="AG845" s="38"/>
      <c r="AH845" s="38"/>
      <c r="AI845" s="38"/>
      <c r="AJ845" s="38"/>
    </row>
    <row r="846" spans="1:36" ht="15.75" customHeight="1" x14ac:dyDescent="0.2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  <c r="AA846" s="38"/>
      <c r="AB846" s="38"/>
      <c r="AC846" s="38"/>
      <c r="AD846" s="38"/>
      <c r="AE846" s="38"/>
      <c r="AF846" s="38"/>
      <c r="AG846" s="38"/>
      <c r="AH846" s="38"/>
      <c r="AI846" s="38"/>
      <c r="AJ846" s="38"/>
    </row>
    <row r="847" spans="1:36" ht="15.75" customHeight="1" x14ac:dyDescent="0.2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  <c r="AA847" s="38"/>
      <c r="AB847" s="38"/>
      <c r="AC847" s="38"/>
      <c r="AD847" s="38"/>
      <c r="AE847" s="38"/>
      <c r="AF847" s="38"/>
      <c r="AG847" s="38"/>
      <c r="AH847" s="38"/>
      <c r="AI847" s="38"/>
      <c r="AJ847" s="38"/>
    </row>
    <row r="848" spans="1:36" ht="15.75" customHeight="1" x14ac:dyDescent="0.2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  <c r="AA848" s="38"/>
      <c r="AB848" s="38"/>
      <c r="AC848" s="38"/>
      <c r="AD848" s="38"/>
      <c r="AE848" s="38"/>
      <c r="AF848" s="38"/>
      <c r="AG848" s="38"/>
      <c r="AH848" s="38"/>
      <c r="AI848" s="38"/>
      <c r="AJ848" s="38"/>
    </row>
    <row r="849" spans="1:36" ht="15.75" customHeight="1" x14ac:dyDescent="0.2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  <c r="AA849" s="38"/>
      <c r="AB849" s="38"/>
      <c r="AC849" s="38"/>
      <c r="AD849" s="38"/>
      <c r="AE849" s="38"/>
      <c r="AF849" s="38"/>
      <c r="AG849" s="38"/>
      <c r="AH849" s="38"/>
      <c r="AI849" s="38"/>
      <c r="AJ849" s="38"/>
    </row>
    <row r="850" spans="1:36" ht="15.75" customHeight="1" x14ac:dyDescent="0.2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  <c r="AA850" s="38"/>
      <c r="AB850" s="38"/>
      <c r="AC850" s="38"/>
      <c r="AD850" s="38"/>
      <c r="AE850" s="38"/>
      <c r="AF850" s="38"/>
      <c r="AG850" s="38"/>
      <c r="AH850" s="38"/>
      <c r="AI850" s="38"/>
      <c r="AJ850" s="38"/>
    </row>
    <row r="851" spans="1:36" ht="15.75" customHeight="1" x14ac:dyDescent="0.2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  <c r="AA851" s="38"/>
      <c r="AB851" s="38"/>
      <c r="AC851" s="38"/>
      <c r="AD851" s="38"/>
      <c r="AE851" s="38"/>
      <c r="AF851" s="38"/>
      <c r="AG851" s="38"/>
      <c r="AH851" s="38"/>
      <c r="AI851" s="38"/>
      <c r="AJ851" s="38"/>
    </row>
    <row r="852" spans="1:36" ht="15.75" customHeight="1" x14ac:dyDescent="0.2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  <c r="AA852" s="38"/>
      <c r="AB852" s="38"/>
      <c r="AC852" s="38"/>
      <c r="AD852" s="38"/>
      <c r="AE852" s="38"/>
      <c r="AF852" s="38"/>
      <c r="AG852" s="38"/>
      <c r="AH852" s="38"/>
      <c r="AI852" s="38"/>
      <c r="AJ852" s="38"/>
    </row>
    <row r="853" spans="1:36" ht="15.75" customHeight="1" x14ac:dyDescent="0.2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  <c r="AA853" s="38"/>
      <c r="AB853" s="38"/>
      <c r="AC853" s="38"/>
      <c r="AD853" s="38"/>
      <c r="AE853" s="38"/>
      <c r="AF853" s="38"/>
      <c r="AG853" s="38"/>
      <c r="AH853" s="38"/>
      <c r="AI853" s="38"/>
      <c r="AJ853" s="38"/>
    </row>
    <row r="854" spans="1:36" ht="15.75" customHeight="1" x14ac:dyDescent="0.2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  <c r="AA854" s="38"/>
      <c r="AB854" s="38"/>
      <c r="AC854" s="38"/>
      <c r="AD854" s="38"/>
      <c r="AE854" s="38"/>
      <c r="AF854" s="38"/>
      <c r="AG854" s="38"/>
      <c r="AH854" s="38"/>
      <c r="AI854" s="38"/>
      <c r="AJ854" s="38"/>
    </row>
    <row r="855" spans="1:36" ht="15.75" customHeight="1" x14ac:dyDescent="0.2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  <c r="AA855" s="38"/>
      <c r="AB855" s="38"/>
      <c r="AC855" s="38"/>
      <c r="AD855" s="38"/>
      <c r="AE855" s="38"/>
      <c r="AF855" s="38"/>
      <c r="AG855" s="38"/>
      <c r="AH855" s="38"/>
      <c r="AI855" s="38"/>
      <c r="AJ855" s="38"/>
    </row>
    <row r="856" spans="1:36" ht="15.75" customHeight="1" x14ac:dyDescent="0.2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  <c r="AA856" s="38"/>
      <c r="AB856" s="38"/>
      <c r="AC856" s="38"/>
      <c r="AD856" s="38"/>
      <c r="AE856" s="38"/>
      <c r="AF856" s="38"/>
      <c r="AG856" s="38"/>
      <c r="AH856" s="38"/>
      <c r="AI856" s="38"/>
      <c r="AJ856" s="38"/>
    </row>
    <row r="857" spans="1:36" ht="15.75" customHeight="1" x14ac:dyDescent="0.2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  <c r="AA857" s="38"/>
      <c r="AB857" s="38"/>
      <c r="AC857" s="38"/>
      <c r="AD857" s="38"/>
      <c r="AE857" s="38"/>
      <c r="AF857" s="38"/>
      <c r="AG857" s="38"/>
      <c r="AH857" s="38"/>
      <c r="AI857" s="38"/>
      <c r="AJ857" s="38"/>
    </row>
    <row r="858" spans="1:36" ht="15.75" customHeight="1" x14ac:dyDescent="0.2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  <c r="AA858" s="38"/>
      <c r="AB858" s="38"/>
      <c r="AC858" s="38"/>
      <c r="AD858" s="38"/>
      <c r="AE858" s="38"/>
      <c r="AF858" s="38"/>
      <c r="AG858" s="38"/>
      <c r="AH858" s="38"/>
      <c r="AI858" s="38"/>
      <c r="AJ858" s="38"/>
    </row>
    <row r="859" spans="1:36" ht="15.75" customHeight="1" x14ac:dyDescent="0.2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  <c r="AA859" s="38"/>
      <c r="AB859" s="38"/>
      <c r="AC859" s="38"/>
      <c r="AD859" s="38"/>
      <c r="AE859" s="38"/>
      <c r="AF859" s="38"/>
      <c r="AG859" s="38"/>
      <c r="AH859" s="38"/>
      <c r="AI859" s="38"/>
      <c r="AJ859" s="38"/>
    </row>
    <row r="860" spans="1:36" ht="15.75" customHeight="1" x14ac:dyDescent="0.2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  <c r="AA860" s="38"/>
      <c r="AB860" s="38"/>
      <c r="AC860" s="38"/>
      <c r="AD860" s="38"/>
      <c r="AE860" s="38"/>
      <c r="AF860" s="38"/>
      <c r="AG860" s="38"/>
      <c r="AH860" s="38"/>
      <c r="AI860" s="38"/>
      <c r="AJ860" s="38"/>
    </row>
    <row r="861" spans="1:36" ht="15.75" customHeight="1" x14ac:dyDescent="0.2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  <c r="AA861" s="38"/>
      <c r="AB861" s="38"/>
      <c r="AC861" s="38"/>
      <c r="AD861" s="38"/>
      <c r="AE861" s="38"/>
      <c r="AF861" s="38"/>
      <c r="AG861" s="38"/>
      <c r="AH861" s="38"/>
      <c r="AI861" s="38"/>
      <c r="AJ861" s="38"/>
    </row>
    <row r="862" spans="1:36" ht="15.75" customHeight="1" x14ac:dyDescent="0.2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  <c r="AA862" s="38"/>
      <c r="AB862" s="38"/>
      <c r="AC862" s="38"/>
      <c r="AD862" s="38"/>
      <c r="AE862" s="38"/>
      <c r="AF862" s="38"/>
      <c r="AG862" s="38"/>
      <c r="AH862" s="38"/>
      <c r="AI862" s="38"/>
      <c r="AJ862" s="38"/>
    </row>
    <row r="863" spans="1:36" ht="15.75" customHeight="1" x14ac:dyDescent="0.2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  <c r="AA863" s="38"/>
      <c r="AB863" s="38"/>
      <c r="AC863" s="38"/>
      <c r="AD863" s="38"/>
      <c r="AE863" s="38"/>
      <c r="AF863" s="38"/>
      <c r="AG863" s="38"/>
      <c r="AH863" s="38"/>
      <c r="AI863" s="38"/>
      <c r="AJ863" s="38"/>
    </row>
    <row r="864" spans="1:36" ht="15.75" customHeight="1" x14ac:dyDescent="0.2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  <c r="AA864" s="38"/>
      <c r="AB864" s="38"/>
      <c r="AC864" s="38"/>
      <c r="AD864" s="38"/>
      <c r="AE864" s="38"/>
      <c r="AF864" s="38"/>
      <c r="AG864" s="38"/>
      <c r="AH864" s="38"/>
      <c r="AI864" s="38"/>
      <c r="AJ864" s="38"/>
    </row>
    <row r="865" spans="1:36" ht="15.75" customHeight="1" x14ac:dyDescent="0.2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  <c r="AA865" s="38"/>
      <c r="AB865" s="38"/>
      <c r="AC865" s="38"/>
      <c r="AD865" s="38"/>
      <c r="AE865" s="38"/>
      <c r="AF865" s="38"/>
      <c r="AG865" s="38"/>
      <c r="AH865" s="38"/>
      <c r="AI865" s="38"/>
      <c r="AJ865" s="38"/>
    </row>
    <row r="866" spans="1:36" ht="15.75" customHeight="1" x14ac:dyDescent="0.2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  <c r="AA866" s="38"/>
      <c r="AB866" s="38"/>
      <c r="AC866" s="38"/>
      <c r="AD866" s="38"/>
      <c r="AE866" s="38"/>
      <c r="AF866" s="38"/>
      <c r="AG866" s="38"/>
      <c r="AH866" s="38"/>
      <c r="AI866" s="38"/>
      <c r="AJ866" s="38"/>
    </row>
    <row r="867" spans="1:36" ht="15.75" customHeight="1" x14ac:dyDescent="0.2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  <c r="AA867" s="38"/>
      <c r="AB867" s="38"/>
      <c r="AC867" s="38"/>
      <c r="AD867" s="38"/>
      <c r="AE867" s="38"/>
      <c r="AF867" s="38"/>
      <c r="AG867" s="38"/>
      <c r="AH867" s="38"/>
      <c r="AI867" s="38"/>
      <c r="AJ867" s="38"/>
    </row>
    <row r="868" spans="1:36" ht="15.75" customHeight="1" x14ac:dyDescent="0.2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  <c r="AA868" s="38"/>
      <c r="AB868" s="38"/>
      <c r="AC868" s="38"/>
      <c r="AD868" s="38"/>
      <c r="AE868" s="38"/>
      <c r="AF868" s="38"/>
      <c r="AG868" s="38"/>
      <c r="AH868" s="38"/>
      <c r="AI868" s="38"/>
      <c r="AJ868" s="38"/>
    </row>
    <row r="869" spans="1:36" ht="15.75" customHeight="1" x14ac:dyDescent="0.2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  <c r="AA869" s="38"/>
      <c r="AB869" s="38"/>
      <c r="AC869" s="38"/>
      <c r="AD869" s="38"/>
      <c r="AE869" s="38"/>
      <c r="AF869" s="38"/>
      <c r="AG869" s="38"/>
      <c r="AH869" s="38"/>
      <c r="AI869" s="38"/>
      <c r="AJ869" s="38"/>
    </row>
    <row r="870" spans="1:36" ht="15.75" customHeight="1" x14ac:dyDescent="0.2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  <c r="AA870" s="38"/>
      <c r="AB870" s="38"/>
      <c r="AC870" s="38"/>
      <c r="AD870" s="38"/>
      <c r="AE870" s="38"/>
      <c r="AF870" s="38"/>
      <c r="AG870" s="38"/>
      <c r="AH870" s="38"/>
      <c r="AI870" s="38"/>
      <c r="AJ870" s="38"/>
    </row>
    <row r="871" spans="1:36" ht="15.75" customHeight="1" x14ac:dyDescent="0.2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  <c r="AA871" s="38"/>
      <c r="AB871" s="38"/>
      <c r="AC871" s="38"/>
      <c r="AD871" s="38"/>
      <c r="AE871" s="38"/>
      <c r="AF871" s="38"/>
      <c r="AG871" s="38"/>
      <c r="AH871" s="38"/>
      <c r="AI871" s="38"/>
      <c r="AJ871" s="38"/>
    </row>
    <row r="872" spans="1:36" ht="15.75" customHeight="1" x14ac:dyDescent="0.2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  <c r="AA872" s="38"/>
      <c r="AB872" s="38"/>
      <c r="AC872" s="38"/>
      <c r="AD872" s="38"/>
      <c r="AE872" s="38"/>
      <c r="AF872" s="38"/>
      <c r="AG872" s="38"/>
      <c r="AH872" s="38"/>
      <c r="AI872" s="38"/>
      <c r="AJ872" s="38"/>
    </row>
    <row r="873" spans="1:36" ht="15.75" customHeight="1" x14ac:dyDescent="0.2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  <c r="AA873" s="38"/>
      <c r="AB873" s="38"/>
      <c r="AC873" s="38"/>
      <c r="AD873" s="38"/>
      <c r="AE873" s="38"/>
      <c r="AF873" s="38"/>
      <c r="AG873" s="38"/>
      <c r="AH873" s="38"/>
      <c r="AI873" s="38"/>
      <c r="AJ873" s="38"/>
    </row>
    <row r="874" spans="1:36" ht="15.75" customHeight="1" x14ac:dyDescent="0.2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  <c r="AA874" s="38"/>
      <c r="AB874" s="38"/>
      <c r="AC874" s="38"/>
      <c r="AD874" s="38"/>
      <c r="AE874" s="38"/>
      <c r="AF874" s="38"/>
      <c r="AG874" s="38"/>
      <c r="AH874" s="38"/>
      <c r="AI874" s="38"/>
      <c r="AJ874" s="38"/>
    </row>
    <row r="875" spans="1:36" ht="15.75" customHeight="1" x14ac:dyDescent="0.2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  <c r="AA875" s="38"/>
      <c r="AB875" s="38"/>
      <c r="AC875" s="38"/>
      <c r="AD875" s="38"/>
      <c r="AE875" s="38"/>
      <c r="AF875" s="38"/>
      <c r="AG875" s="38"/>
      <c r="AH875" s="38"/>
      <c r="AI875" s="38"/>
      <c r="AJ875" s="38"/>
    </row>
    <row r="876" spans="1:36" ht="15.75" customHeight="1" x14ac:dyDescent="0.2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  <c r="AA876" s="38"/>
      <c r="AB876" s="38"/>
      <c r="AC876" s="38"/>
      <c r="AD876" s="38"/>
      <c r="AE876" s="38"/>
      <c r="AF876" s="38"/>
      <c r="AG876" s="38"/>
      <c r="AH876" s="38"/>
      <c r="AI876" s="38"/>
      <c r="AJ876" s="38"/>
    </row>
    <row r="877" spans="1:36" ht="15.75" customHeight="1" x14ac:dyDescent="0.2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  <c r="AA877" s="38"/>
      <c r="AB877" s="38"/>
      <c r="AC877" s="38"/>
      <c r="AD877" s="38"/>
      <c r="AE877" s="38"/>
      <c r="AF877" s="38"/>
      <c r="AG877" s="38"/>
      <c r="AH877" s="38"/>
      <c r="AI877" s="38"/>
      <c r="AJ877" s="38"/>
    </row>
    <row r="878" spans="1:36" ht="15.75" customHeight="1" x14ac:dyDescent="0.2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  <c r="AA878" s="38"/>
      <c r="AB878" s="38"/>
      <c r="AC878" s="38"/>
      <c r="AD878" s="38"/>
      <c r="AE878" s="38"/>
      <c r="AF878" s="38"/>
      <c r="AG878" s="38"/>
      <c r="AH878" s="38"/>
      <c r="AI878" s="38"/>
      <c r="AJ878" s="38"/>
    </row>
    <row r="879" spans="1:36" ht="15.75" customHeight="1" x14ac:dyDescent="0.2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  <c r="AA879" s="38"/>
      <c r="AB879" s="38"/>
      <c r="AC879" s="38"/>
      <c r="AD879" s="38"/>
      <c r="AE879" s="38"/>
      <c r="AF879" s="38"/>
      <c r="AG879" s="38"/>
      <c r="AH879" s="38"/>
      <c r="AI879" s="38"/>
      <c r="AJ879" s="38"/>
    </row>
    <row r="880" spans="1:36" ht="15.75" customHeight="1" x14ac:dyDescent="0.2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  <c r="AA880" s="38"/>
      <c r="AB880" s="38"/>
      <c r="AC880" s="38"/>
      <c r="AD880" s="38"/>
      <c r="AE880" s="38"/>
      <c r="AF880" s="38"/>
      <c r="AG880" s="38"/>
      <c r="AH880" s="38"/>
      <c r="AI880" s="38"/>
      <c r="AJ880" s="38"/>
    </row>
    <row r="881" spans="1:36" ht="15.75" customHeight="1" x14ac:dyDescent="0.2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  <c r="AA881" s="38"/>
      <c r="AB881" s="38"/>
      <c r="AC881" s="38"/>
      <c r="AD881" s="38"/>
      <c r="AE881" s="38"/>
      <c r="AF881" s="38"/>
      <c r="AG881" s="38"/>
      <c r="AH881" s="38"/>
      <c r="AI881" s="38"/>
      <c r="AJ881" s="38"/>
    </row>
    <row r="882" spans="1:36" ht="15.75" customHeight="1" x14ac:dyDescent="0.2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  <c r="AA882" s="38"/>
      <c r="AB882" s="38"/>
      <c r="AC882" s="38"/>
      <c r="AD882" s="38"/>
      <c r="AE882" s="38"/>
      <c r="AF882" s="38"/>
      <c r="AG882" s="38"/>
      <c r="AH882" s="38"/>
      <c r="AI882" s="38"/>
      <c r="AJ882" s="38"/>
    </row>
    <row r="883" spans="1:36" ht="15.75" customHeight="1" x14ac:dyDescent="0.2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  <c r="AA883" s="38"/>
      <c r="AB883" s="38"/>
      <c r="AC883" s="38"/>
      <c r="AD883" s="38"/>
      <c r="AE883" s="38"/>
      <c r="AF883" s="38"/>
      <c r="AG883" s="38"/>
      <c r="AH883" s="38"/>
      <c r="AI883" s="38"/>
      <c r="AJ883" s="38"/>
    </row>
    <row r="884" spans="1:36" ht="15.75" customHeight="1" x14ac:dyDescent="0.2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  <c r="AA884" s="38"/>
      <c r="AB884" s="38"/>
      <c r="AC884" s="38"/>
      <c r="AD884" s="38"/>
      <c r="AE884" s="38"/>
      <c r="AF884" s="38"/>
      <c r="AG884" s="38"/>
      <c r="AH884" s="38"/>
      <c r="AI884" s="38"/>
      <c r="AJ884" s="38"/>
    </row>
    <row r="885" spans="1:36" ht="15.75" customHeight="1" x14ac:dyDescent="0.2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  <c r="AA885" s="38"/>
      <c r="AB885" s="38"/>
      <c r="AC885" s="38"/>
      <c r="AD885" s="38"/>
      <c r="AE885" s="38"/>
      <c r="AF885" s="38"/>
      <c r="AG885" s="38"/>
      <c r="AH885" s="38"/>
      <c r="AI885" s="38"/>
      <c r="AJ885" s="38"/>
    </row>
    <row r="886" spans="1:36" ht="15.75" customHeight="1" x14ac:dyDescent="0.2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  <c r="AA886" s="38"/>
      <c r="AB886" s="38"/>
      <c r="AC886" s="38"/>
      <c r="AD886" s="38"/>
      <c r="AE886" s="38"/>
      <c r="AF886" s="38"/>
      <c r="AG886" s="38"/>
      <c r="AH886" s="38"/>
      <c r="AI886" s="38"/>
      <c r="AJ886" s="38"/>
    </row>
    <row r="887" spans="1:36" ht="15.75" customHeight="1" x14ac:dyDescent="0.2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  <c r="AA887" s="38"/>
      <c r="AB887" s="38"/>
      <c r="AC887" s="38"/>
      <c r="AD887" s="38"/>
      <c r="AE887" s="38"/>
      <c r="AF887" s="38"/>
      <c r="AG887" s="38"/>
      <c r="AH887" s="38"/>
      <c r="AI887" s="38"/>
      <c r="AJ887" s="38"/>
    </row>
    <row r="888" spans="1:36" ht="15.75" customHeight="1" x14ac:dyDescent="0.2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  <c r="AA888" s="38"/>
      <c r="AB888" s="38"/>
      <c r="AC888" s="38"/>
      <c r="AD888" s="38"/>
      <c r="AE888" s="38"/>
      <c r="AF888" s="38"/>
      <c r="AG888" s="38"/>
      <c r="AH888" s="38"/>
      <c r="AI888" s="38"/>
      <c r="AJ888" s="38"/>
    </row>
    <row r="889" spans="1:36" ht="15.75" customHeight="1" x14ac:dyDescent="0.2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  <c r="AA889" s="38"/>
      <c r="AB889" s="38"/>
      <c r="AC889" s="38"/>
      <c r="AD889" s="38"/>
      <c r="AE889" s="38"/>
      <c r="AF889" s="38"/>
      <c r="AG889" s="38"/>
      <c r="AH889" s="38"/>
      <c r="AI889" s="38"/>
      <c r="AJ889" s="38"/>
    </row>
    <row r="890" spans="1:36" ht="15.75" customHeight="1" x14ac:dyDescent="0.2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  <c r="AA890" s="38"/>
      <c r="AB890" s="38"/>
      <c r="AC890" s="38"/>
      <c r="AD890" s="38"/>
      <c r="AE890" s="38"/>
      <c r="AF890" s="38"/>
      <c r="AG890" s="38"/>
      <c r="AH890" s="38"/>
      <c r="AI890" s="38"/>
      <c r="AJ890" s="38"/>
    </row>
    <row r="891" spans="1:36" ht="15.75" customHeight="1" x14ac:dyDescent="0.2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  <c r="AA891" s="38"/>
      <c r="AB891" s="38"/>
      <c r="AC891" s="38"/>
      <c r="AD891" s="38"/>
      <c r="AE891" s="38"/>
      <c r="AF891" s="38"/>
      <c r="AG891" s="38"/>
      <c r="AH891" s="38"/>
      <c r="AI891" s="38"/>
      <c r="AJ891" s="38"/>
    </row>
    <row r="892" spans="1:36" ht="15.75" customHeight="1" x14ac:dyDescent="0.2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  <c r="AA892" s="38"/>
      <c r="AB892" s="38"/>
      <c r="AC892" s="38"/>
      <c r="AD892" s="38"/>
      <c r="AE892" s="38"/>
      <c r="AF892" s="38"/>
      <c r="AG892" s="38"/>
      <c r="AH892" s="38"/>
      <c r="AI892" s="38"/>
      <c r="AJ892" s="38"/>
    </row>
    <row r="893" spans="1:36" ht="15.75" customHeight="1" x14ac:dyDescent="0.2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  <c r="AA893" s="38"/>
      <c r="AB893" s="38"/>
      <c r="AC893" s="38"/>
      <c r="AD893" s="38"/>
      <c r="AE893" s="38"/>
      <c r="AF893" s="38"/>
      <c r="AG893" s="38"/>
      <c r="AH893" s="38"/>
      <c r="AI893" s="38"/>
      <c r="AJ893" s="38"/>
    </row>
    <row r="894" spans="1:36" ht="15.75" customHeight="1" x14ac:dyDescent="0.2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  <c r="AA894" s="38"/>
      <c r="AB894" s="38"/>
      <c r="AC894" s="38"/>
      <c r="AD894" s="38"/>
      <c r="AE894" s="38"/>
      <c r="AF894" s="38"/>
      <c r="AG894" s="38"/>
      <c r="AH894" s="38"/>
      <c r="AI894" s="38"/>
      <c r="AJ894" s="38"/>
    </row>
    <row r="895" spans="1:36" ht="15.75" customHeight="1" x14ac:dyDescent="0.2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  <c r="AA895" s="38"/>
      <c r="AB895" s="38"/>
      <c r="AC895" s="38"/>
      <c r="AD895" s="38"/>
      <c r="AE895" s="38"/>
      <c r="AF895" s="38"/>
      <c r="AG895" s="38"/>
      <c r="AH895" s="38"/>
      <c r="AI895" s="38"/>
      <c r="AJ895" s="38"/>
    </row>
    <row r="896" spans="1:36" ht="15.75" customHeight="1" x14ac:dyDescent="0.2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  <c r="AA896" s="38"/>
      <c r="AB896" s="38"/>
      <c r="AC896" s="38"/>
      <c r="AD896" s="38"/>
      <c r="AE896" s="38"/>
      <c r="AF896" s="38"/>
      <c r="AG896" s="38"/>
      <c r="AH896" s="38"/>
      <c r="AI896" s="38"/>
      <c r="AJ896" s="38"/>
    </row>
    <row r="897" spans="1:36" ht="15.75" customHeight="1" x14ac:dyDescent="0.2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  <c r="AA897" s="38"/>
      <c r="AB897" s="38"/>
      <c r="AC897" s="38"/>
      <c r="AD897" s="38"/>
      <c r="AE897" s="38"/>
      <c r="AF897" s="38"/>
      <c r="AG897" s="38"/>
      <c r="AH897" s="38"/>
      <c r="AI897" s="38"/>
      <c r="AJ897" s="38"/>
    </row>
    <row r="898" spans="1:36" ht="15.75" customHeight="1" x14ac:dyDescent="0.2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  <c r="AA898" s="38"/>
      <c r="AB898" s="38"/>
      <c r="AC898" s="38"/>
      <c r="AD898" s="38"/>
      <c r="AE898" s="38"/>
      <c r="AF898" s="38"/>
      <c r="AG898" s="38"/>
      <c r="AH898" s="38"/>
      <c r="AI898" s="38"/>
      <c r="AJ898" s="38"/>
    </row>
    <row r="899" spans="1:36" ht="15.75" customHeight="1" x14ac:dyDescent="0.2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  <c r="AA899" s="38"/>
      <c r="AB899" s="38"/>
      <c r="AC899" s="38"/>
      <c r="AD899" s="38"/>
      <c r="AE899" s="38"/>
      <c r="AF899" s="38"/>
      <c r="AG899" s="38"/>
      <c r="AH899" s="38"/>
      <c r="AI899" s="38"/>
      <c r="AJ899" s="38"/>
    </row>
    <row r="900" spans="1:36" ht="15.75" customHeight="1" x14ac:dyDescent="0.2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  <c r="AA900" s="38"/>
      <c r="AB900" s="38"/>
      <c r="AC900" s="38"/>
      <c r="AD900" s="38"/>
      <c r="AE900" s="38"/>
      <c r="AF900" s="38"/>
      <c r="AG900" s="38"/>
      <c r="AH900" s="38"/>
      <c r="AI900" s="38"/>
      <c r="AJ900" s="38"/>
    </row>
    <row r="901" spans="1:36" ht="15.75" customHeight="1" x14ac:dyDescent="0.2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  <c r="AA901" s="38"/>
      <c r="AB901" s="38"/>
      <c r="AC901" s="38"/>
      <c r="AD901" s="38"/>
      <c r="AE901" s="38"/>
      <c r="AF901" s="38"/>
      <c r="AG901" s="38"/>
      <c r="AH901" s="38"/>
      <c r="AI901" s="38"/>
      <c r="AJ901" s="38"/>
    </row>
    <row r="902" spans="1:36" ht="15.75" customHeight="1" x14ac:dyDescent="0.2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  <c r="AA902" s="38"/>
      <c r="AB902" s="38"/>
      <c r="AC902" s="38"/>
      <c r="AD902" s="38"/>
      <c r="AE902" s="38"/>
      <c r="AF902" s="38"/>
      <c r="AG902" s="38"/>
      <c r="AH902" s="38"/>
      <c r="AI902" s="38"/>
      <c r="AJ902" s="38"/>
    </row>
    <row r="903" spans="1:36" ht="15.75" customHeight="1" x14ac:dyDescent="0.2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  <c r="AA903" s="38"/>
      <c r="AB903" s="38"/>
      <c r="AC903" s="38"/>
      <c r="AD903" s="38"/>
      <c r="AE903" s="38"/>
      <c r="AF903" s="38"/>
      <c r="AG903" s="38"/>
      <c r="AH903" s="38"/>
      <c r="AI903" s="38"/>
      <c r="AJ903" s="38"/>
    </row>
    <row r="904" spans="1:36" ht="15.75" customHeight="1" x14ac:dyDescent="0.2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  <c r="AA904" s="38"/>
      <c r="AB904" s="38"/>
      <c r="AC904" s="38"/>
      <c r="AD904" s="38"/>
      <c r="AE904" s="38"/>
      <c r="AF904" s="38"/>
      <c r="AG904" s="38"/>
      <c r="AH904" s="38"/>
      <c r="AI904" s="38"/>
      <c r="AJ904" s="38"/>
    </row>
    <row r="905" spans="1:36" ht="15.75" customHeight="1" x14ac:dyDescent="0.2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  <c r="AA905" s="38"/>
      <c r="AB905" s="38"/>
      <c r="AC905" s="38"/>
      <c r="AD905" s="38"/>
      <c r="AE905" s="38"/>
      <c r="AF905" s="38"/>
      <c r="AG905" s="38"/>
      <c r="AH905" s="38"/>
      <c r="AI905" s="38"/>
      <c r="AJ905" s="38"/>
    </row>
    <row r="906" spans="1:36" ht="15.75" customHeight="1" x14ac:dyDescent="0.2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  <c r="AA906" s="38"/>
      <c r="AB906" s="38"/>
      <c r="AC906" s="38"/>
      <c r="AD906" s="38"/>
      <c r="AE906" s="38"/>
      <c r="AF906" s="38"/>
      <c r="AG906" s="38"/>
      <c r="AH906" s="38"/>
      <c r="AI906" s="38"/>
      <c r="AJ906" s="38"/>
    </row>
    <row r="907" spans="1:36" ht="15.75" customHeight="1" x14ac:dyDescent="0.2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  <c r="AA907" s="38"/>
      <c r="AB907" s="38"/>
      <c r="AC907" s="38"/>
      <c r="AD907" s="38"/>
      <c r="AE907" s="38"/>
      <c r="AF907" s="38"/>
      <c r="AG907" s="38"/>
      <c r="AH907" s="38"/>
      <c r="AI907" s="38"/>
      <c r="AJ907" s="38"/>
    </row>
    <row r="908" spans="1:36" ht="15.75" customHeight="1" x14ac:dyDescent="0.2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  <c r="AA908" s="38"/>
      <c r="AB908" s="38"/>
      <c r="AC908" s="38"/>
      <c r="AD908" s="38"/>
      <c r="AE908" s="38"/>
      <c r="AF908" s="38"/>
      <c r="AG908" s="38"/>
      <c r="AH908" s="38"/>
      <c r="AI908" s="38"/>
      <c r="AJ908" s="38"/>
    </row>
    <row r="909" spans="1:36" ht="15.75" customHeight="1" x14ac:dyDescent="0.2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  <c r="AA909" s="38"/>
      <c r="AB909" s="38"/>
      <c r="AC909" s="38"/>
      <c r="AD909" s="38"/>
      <c r="AE909" s="38"/>
      <c r="AF909" s="38"/>
      <c r="AG909" s="38"/>
      <c r="AH909" s="38"/>
      <c r="AI909" s="38"/>
      <c r="AJ909" s="38"/>
    </row>
    <row r="910" spans="1:36" ht="15.75" customHeight="1" x14ac:dyDescent="0.2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  <c r="AA910" s="38"/>
      <c r="AB910" s="38"/>
      <c r="AC910" s="38"/>
      <c r="AD910" s="38"/>
      <c r="AE910" s="38"/>
      <c r="AF910" s="38"/>
      <c r="AG910" s="38"/>
      <c r="AH910" s="38"/>
      <c r="AI910" s="38"/>
      <c r="AJ910" s="38"/>
    </row>
    <row r="911" spans="1:36" ht="15.75" customHeight="1" x14ac:dyDescent="0.2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  <c r="AA911" s="38"/>
      <c r="AB911" s="38"/>
      <c r="AC911" s="38"/>
      <c r="AD911" s="38"/>
      <c r="AE911" s="38"/>
      <c r="AF911" s="38"/>
      <c r="AG911" s="38"/>
      <c r="AH911" s="38"/>
      <c r="AI911" s="38"/>
      <c r="AJ911" s="38"/>
    </row>
    <row r="912" spans="1:36" ht="15.75" customHeight="1" x14ac:dyDescent="0.2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  <c r="AA912" s="38"/>
      <c r="AB912" s="38"/>
      <c r="AC912" s="38"/>
      <c r="AD912" s="38"/>
      <c r="AE912" s="38"/>
      <c r="AF912" s="38"/>
      <c r="AG912" s="38"/>
      <c r="AH912" s="38"/>
      <c r="AI912" s="38"/>
      <c r="AJ912" s="38"/>
    </row>
    <row r="913" spans="1:36" ht="15.75" customHeight="1" x14ac:dyDescent="0.2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  <c r="AA913" s="38"/>
      <c r="AB913" s="38"/>
      <c r="AC913" s="38"/>
      <c r="AD913" s="38"/>
      <c r="AE913" s="38"/>
      <c r="AF913" s="38"/>
      <c r="AG913" s="38"/>
      <c r="AH913" s="38"/>
      <c r="AI913" s="38"/>
      <c r="AJ913" s="38"/>
    </row>
    <row r="914" spans="1:36" ht="15.75" customHeight="1" x14ac:dyDescent="0.2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  <c r="AA914" s="38"/>
      <c r="AB914" s="38"/>
      <c r="AC914" s="38"/>
      <c r="AD914" s="38"/>
      <c r="AE914" s="38"/>
      <c r="AF914" s="38"/>
      <c r="AG914" s="38"/>
      <c r="AH914" s="38"/>
      <c r="AI914" s="38"/>
      <c r="AJ914" s="38"/>
    </row>
    <row r="915" spans="1:36" ht="15.75" customHeight="1" x14ac:dyDescent="0.2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  <c r="AA915" s="38"/>
      <c r="AB915" s="38"/>
      <c r="AC915" s="38"/>
      <c r="AD915" s="38"/>
      <c r="AE915" s="38"/>
      <c r="AF915" s="38"/>
      <c r="AG915" s="38"/>
      <c r="AH915" s="38"/>
      <c r="AI915" s="38"/>
      <c r="AJ915" s="38"/>
    </row>
    <row r="916" spans="1:36" ht="15.75" customHeight="1" x14ac:dyDescent="0.2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  <c r="AA916" s="38"/>
      <c r="AB916" s="38"/>
      <c r="AC916" s="38"/>
      <c r="AD916" s="38"/>
      <c r="AE916" s="38"/>
      <c r="AF916" s="38"/>
      <c r="AG916" s="38"/>
      <c r="AH916" s="38"/>
      <c r="AI916" s="38"/>
      <c r="AJ916" s="38"/>
    </row>
    <row r="917" spans="1:36" ht="15.75" customHeight="1" x14ac:dyDescent="0.2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  <c r="AA917" s="38"/>
      <c r="AB917" s="38"/>
      <c r="AC917" s="38"/>
      <c r="AD917" s="38"/>
      <c r="AE917" s="38"/>
      <c r="AF917" s="38"/>
      <c r="AG917" s="38"/>
      <c r="AH917" s="38"/>
      <c r="AI917" s="38"/>
      <c r="AJ917" s="38"/>
    </row>
    <row r="918" spans="1:36" ht="15.75" customHeight="1" x14ac:dyDescent="0.2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  <c r="AA918" s="38"/>
      <c r="AB918" s="38"/>
      <c r="AC918" s="38"/>
      <c r="AD918" s="38"/>
      <c r="AE918" s="38"/>
      <c r="AF918" s="38"/>
      <c r="AG918" s="38"/>
      <c r="AH918" s="38"/>
      <c r="AI918" s="38"/>
      <c r="AJ918" s="38"/>
    </row>
    <row r="919" spans="1:36" ht="15.75" customHeight="1" x14ac:dyDescent="0.2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  <c r="AA919" s="38"/>
      <c r="AB919" s="38"/>
      <c r="AC919" s="38"/>
      <c r="AD919" s="38"/>
      <c r="AE919" s="38"/>
      <c r="AF919" s="38"/>
      <c r="AG919" s="38"/>
      <c r="AH919" s="38"/>
      <c r="AI919" s="38"/>
      <c r="AJ919" s="38"/>
    </row>
    <row r="920" spans="1:36" ht="15.75" customHeight="1" x14ac:dyDescent="0.2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  <c r="AA920" s="38"/>
      <c r="AB920" s="38"/>
      <c r="AC920" s="38"/>
      <c r="AD920" s="38"/>
      <c r="AE920" s="38"/>
      <c r="AF920" s="38"/>
      <c r="AG920" s="38"/>
      <c r="AH920" s="38"/>
      <c r="AI920" s="38"/>
      <c r="AJ920" s="38"/>
    </row>
    <row r="921" spans="1:36" ht="15.75" customHeight="1" x14ac:dyDescent="0.2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  <c r="AA921" s="38"/>
      <c r="AB921" s="38"/>
      <c r="AC921" s="38"/>
      <c r="AD921" s="38"/>
      <c r="AE921" s="38"/>
      <c r="AF921" s="38"/>
      <c r="AG921" s="38"/>
      <c r="AH921" s="38"/>
      <c r="AI921" s="38"/>
      <c r="AJ921" s="38"/>
    </row>
    <row r="922" spans="1:36" ht="15.75" customHeight="1" x14ac:dyDescent="0.2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  <c r="AA922" s="38"/>
      <c r="AB922" s="38"/>
      <c r="AC922" s="38"/>
      <c r="AD922" s="38"/>
      <c r="AE922" s="38"/>
      <c r="AF922" s="38"/>
      <c r="AG922" s="38"/>
      <c r="AH922" s="38"/>
      <c r="AI922" s="38"/>
      <c r="AJ922" s="38"/>
    </row>
    <row r="923" spans="1:36" ht="15.75" customHeight="1" x14ac:dyDescent="0.2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  <c r="AA923" s="38"/>
      <c r="AB923" s="38"/>
      <c r="AC923" s="38"/>
      <c r="AD923" s="38"/>
      <c r="AE923" s="38"/>
      <c r="AF923" s="38"/>
      <c r="AG923" s="38"/>
      <c r="AH923" s="38"/>
      <c r="AI923" s="38"/>
      <c r="AJ923" s="38"/>
    </row>
    <row r="924" spans="1:36" ht="15.75" customHeight="1" x14ac:dyDescent="0.2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  <c r="AA924" s="38"/>
      <c r="AB924" s="38"/>
      <c r="AC924" s="38"/>
      <c r="AD924" s="38"/>
      <c r="AE924" s="38"/>
      <c r="AF924" s="38"/>
      <c r="AG924" s="38"/>
      <c r="AH924" s="38"/>
      <c r="AI924" s="38"/>
      <c r="AJ924" s="38"/>
    </row>
    <row r="925" spans="1:36" ht="15.75" customHeight="1" x14ac:dyDescent="0.2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  <c r="AA925" s="38"/>
      <c r="AB925" s="38"/>
      <c r="AC925" s="38"/>
      <c r="AD925" s="38"/>
      <c r="AE925" s="38"/>
      <c r="AF925" s="38"/>
      <c r="AG925" s="38"/>
      <c r="AH925" s="38"/>
      <c r="AI925" s="38"/>
      <c r="AJ925" s="38"/>
    </row>
    <row r="926" spans="1:36" ht="15.75" customHeight="1" x14ac:dyDescent="0.2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  <c r="AA926" s="38"/>
      <c r="AB926" s="38"/>
      <c r="AC926" s="38"/>
      <c r="AD926" s="38"/>
      <c r="AE926" s="38"/>
      <c r="AF926" s="38"/>
      <c r="AG926" s="38"/>
      <c r="AH926" s="38"/>
      <c r="AI926" s="38"/>
      <c r="AJ926" s="38"/>
    </row>
    <row r="927" spans="1:36" ht="15.75" customHeight="1" x14ac:dyDescent="0.2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  <c r="AA927" s="38"/>
      <c r="AB927" s="38"/>
      <c r="AC927" s="38"/>
      <c r="AD927" s="38"/>
      <c r="AE927" s="38"/>
      <c r="AF927" s="38"/>
      <c r="AG927" s="38"/>
      <c r="AH927" s="38"/>
      <c r="AI927" s="38"/>
      <c r="AJ927" s="38"/>
    </row>
    <row r="928" spans="1:36" ht="15.75" customHeight="1" x14ac:dyDescent="0.2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  <c r="AA928" s="38"/>
      <c r="AB928" s="38"/>
      <c r="AC928" s="38"/>
      <c r="AD928" s="38"/>
      <c r="AE928" s="38"/>
      <c r="AF928" s="38"/>
      <c r="AG928" s="38"/>
      <c r="AH928" s="38"/>
      <c r="AI928" s="38"/>
      <c r="AJ928" s="38"/>
    </row>
    <row r="929" spans="1:36" ht="15.75" customHeight="1" x14ac:dyDescent="0.2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  <c r="AA929" s="38"/>
      <c r="AB929" s="38"/>
      <c r="AC929" s="38"/>
      <c r="AD929" s="38"/>
      <c r="AE929" s="38"/>
      <c r="AF929" s="38"/>
      <c r="AG929" s="38"/>
      <c r="AH929" s="38"/>
      <c r="AI929" s="38"/>
      <c r="AJ929" s="38"/>
    </row>
    <row r="930" spans="1:36" ht="15.75" customHeight="1" x14ac:dyDescent="0.2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  <c r="AA930" s="38"/>
      <c r="AB930" s="38"/>
      <c r="AC930" s="38"/>
      <c r="AD930" s="38"/>
      <c r="AE930" s="38"/>
      <c r="AF930" s="38"/>
      <c r="AG930" s="38"/>
      <c r="AH930" s="38"/>
      <c r="AI930" s="38"/>
      <c r="AJ930" s="38"/>
    </row>
    <row r="931" spans="1:36" ht="15.75" customHeight="1" x14ac:dyDescent="0.2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  <c r="AA931" s="38"/>
      <c r="AB931" s="38"/>
      <c r="AC931" s="38"/>
      <c r="AD931" s="38"/>
      <c r="AE931" s="38"/>
      <c r="AF931" s="38"/>
      <c r="AG931" s="38"/>
      <c r="AH931" s="38"/>
      <c r="AI931" s="38"/>
      <c r="AJ931" s="38"/>
    </row>
    <row r="932" spans="1:36" ht="15.75" customHeight="1" x14ac:dyDescent="0.2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  <c r="AA932" s="38"/>
      <c r="AB932" s="38"/>
      <c r="AC932" s="38"/>
      <c r="AD932" s="38"/>
      <c r="AE932" s="38"/>
      <c r="AF932" s="38"/>
      <c r="AG932" s="38"/>
      <c r="AH932" s="38"/>
      <c r="AI932" s="38"/>
      <c r="AJ932" s="38"/>
    </row>
    <row r="933" spans="1:36" ht="15.75" customHeight="1" x14ac:dyDescent="0.2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  <c r="AA933" s="38"/>
      <c r="AB933" s="38"/>
      <c r="AC933" s="38"/>
      <c r="AD933" s="38"/>
      <c r="AE933" s="38"/>
      <c r="AF933" s="38"/>
      <c r="AG933" s="38"/>
      <c r="AH933" s="38"/>
      <c r="AI933" s="38"/>
      <c r="AJ933" s="38"/>
    </row>
    <row r="934" spans="1:36" ht="15.75" customHeight="1" x14ac:dyDescent="0.2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  <c r="AA934" s="38"/>
      <c r="AB934" s="38"/>
      <c r="AC934" s="38"/>
      <c r="AD934" s="38"/>
      <c r="AE934" s="38"/>
      <c r="AF934" s="38"/>
      <c r="AG934" s="38"/>
      <c r="AH934" s="38"/>
      <c r="AI934" s="38"/>
      <c r="AJ934" s="38"/>
    </row>
    <row r="935" spans="1:36" ht="15.75" customHeight="1" x14ac:dyDescent="0.2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  <c r="AA935" s="38"/>
      <c r="AB935" s="38"/>
      <c r="AC935" s="38"/>
      <c r="AD935" s="38"/>
      <c r="AE935" s="38"/>
      <c r="AF935" s="38"/>
      <c r="AG935" s="38"/>
      <c r="AH935" s="38"/>
      <c r="AI935" s="38"/>
      <c r="AJ935" s="38"/>
    </row>
    <row r="936" spans="1:36" ht="15.75" customHeight="1" x14ac:dyDescent="0.2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  <c r="AA936" s="38"/>
      <c r="AB936" s="38"/>
      <c r="AC936" s="38"/>
      <c r="AD936" s="38"/>
      <c r="AE936" s="38"/>
      <c r="AF936" s="38"/>
      <c r="AG936" s="38"/>
      <c r="AH936" s="38"/>
      <c r="AI936" s="38"/>
      <c r="AJ936" s="38"/>
    </row>
    <row r="937" spans="1:36" ht="15.75" customHeight="1" x14ac:dyDescent="0.2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  <c r="AA937" s="38"/>
      <c r="AB937" s="38"/>
      <c r="AC937" s="38"/>
      <c r="AD937" s="38"/>
      <c r="AE937" s="38"/>
      <c r="AF937" s="38"/>
      <c r="AG937" s="38"/>
      <c r="AH937" s="38"/>
      <c r="AI937" s="38"/>
      <c r="AJ937" s="38"/>
    </row>
    <row r="938" spans="1:36" ht="15.75" customHeight="1" x14ac:dyDescent="0.2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  <c r="AA938" s="38"/>
      <c r="AB938" s="38"/>
      <c r="AC938" s="38"/>
      <c r="AD938" s="38"/>
      <c r="AE938" s="38"/>
      <c r="AF938" s="38"/>
      <c r="AG938" s="38"/>
      <c r="AH938" s="38"/>
      <c r="AI938" s="38"/>
      <c r="AJ938" s="38"/>
    </row>
    <row r="939" spans="1:36" ht="15.75" customHeight="1" x14ac:dyDescent="0.2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  <c r="AA939" s="38"/>
      <c r="AB939" s="38"/>
      <c r="AC939" s="38"/>
      <c r="AD939" s="38"/>
      <c r="AE939" s="38"/>
      <c r="AF939" s="38"/>
      <c r="AG939" s="38"/>
      <c r="AH939" s="38"/>
      <c r="AI939" s="38"/>
      <c r="AJ939" s="38"/>
    </row>
    <row r="940" spans="1:36" ht="15.75" customHeight="1" x14ac:dyDescent="0.2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  <c r="AA940" s="38"/>
      <c r="AB940" s="38"/>
      <c r="AC940" s="38"/>
      <c r="AD940" s="38"/>
      <c r="AE940" s="38"/>
      <c r="AF940" s="38"/>
      <c r="AG940" s="38"/>
      <c r="AH940" s="38"/>
      <c r="AI940" s="38"/>
      <c r="AJ940" s="38"/>
    </row>
    <row r="941" spans="1:36" ht="15.75" customHeight="1" x14ac:dyDescent="0.2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  <c r="AA941" s="38"/>
      <c r="AB941" s="38"/>
      <c r="AC941" s="38"/>
      <c r="AD941" s="38"/>
      <c r="AE941" s="38"/>
      <c r="AF941" s="38"/>
      <c r="AG941" s="38"/>
      <c r="AH941" s="38"/>
      <c r="AI941" s="38"/>
      <c r="AJ941" s="38"/>
    </row>
    <row r="942" spans="1:36" ht="15.75" customHeight="1" x14ac:dyDescent="0.2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  <c r="AA942" s="38"/>
      <c r="AB942" s="38"/>
      <c r="AC942" s="38"/>
      <c r="AD942" s="38"/>
      <c r="AE942" s="38"/>
      <c r="AF942" s="38"/>
      <c r="AG942" s="38"/>
      <c r="AH942" s="38"/>
      <c r="AI942" s="38"/>
      <c r="AJ942" s="38"/>
    </row>
    <row r="943" spans="1:36" ht="15.75" customHeight="1" x14ac:dyDescent="0.2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  <c r="AA943" s="38"/>
      <c r="AB943" s="38"/>
      <c r="AC943" s="38"/>
      <c r="AD943" s="38"/>
      <c r="AE943" s="38"/>
      <c r="AF943" s="38"/>
      <c r="AG943" s="38"/>
      <c r="AH943" s="38"/>
      <c r="AI943" s="38"/>
      <c r="AJ943" s="38"/>
    </row>
    <row r="944" spans="1:36" ht="15.75" customHeight="1" x14ac:dyDescent="0.2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  <c r="AA944" s="38"/>
      <c r="AB944" s="38"/>
      <c r="AC944" s="38"/>
      <c r="AD944" s="38"/>
      <c r="AE944" s="38"/>
      <c r="AF944" s="38"/>
      <c r="AG944" s="38"/>
      <c r="AH944" s="38"/>
      <c r="AI944" s="38"/>
      <c r="AJ944" s="38"/>
    </row>
    <row r="945" spans="1:36" ht="15.75" customHeight="1" x14ac:dyDescent="0.2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  <c r="AA945" s="38"/>
      <c r="AB945" s="38"/>
      <c r="AC945" s="38"/>
      <c r="AD945" s="38"/>
      <c r="AE945" s="38"/>
      <c r="AF945" s="38"/>
      <c r="AG945" s="38"/>
      <c r="AH945" s="38"/>
      <c r="AI945" s="38"/>
      <c r="AJ945" s="38"/>
    </row>
    <row r="946" spans="1:36" ht="15.75" customHeight="1" x14ac:dyDescent="0.2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  <c r="AA946" s="38"/>
      <c r="AB946" s="38"/>
      <c r="AC946" s="38"/>
      <c r="AD946" s="38"/>
      <c r="AE946" s="38"/>
      <c r="AF946" s="38"/>
      <c r="AG946" s="38"/>
      <c r="AH946" s="38"/>
      <c r="AI946" s="38"/>
      <c r="AJ946" s="38"/>
    </row>
    <row r="947" spans="1:36" ht="15.75" customHeight="1" x14ac:dyDescent="0.2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  <c r="AA947" s="38"/>
      <c r="AB947" s="38"/>
      <c r="AC947" s="38"/>
      <c r="AD947" s="38"/>
      <c r="AE947" s="38"/>
      <c r="AF947" s="38"/>
      <c r="AG947" s="38"/>
      <c r="AH947" s="38"/>
      <c r="AI947" s="38"/>
      <c r="AJ947" s="38"/>
    </row>
    <row r="948" spans="1:36" ht="15.75" customHeight="1" x14ac:dyDescent="0.2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  <c r="AA948" s="38"/>
      <c r="AB948" s="38"/>
      <c r="AC948" s="38"/>
      <c r="AD948" s="38"/>
      <c r="AE948" s="38"/>
      <c r="AF948" s="38"/>
      <c r="AG948" s="38"/>
      <c r="AH948" s="38"/>
      <c r="AI948" s="38"/>
      <c r="AJ948" s="38"/>
    </row>
    <row r="949" spans="1:36" ht="15.75" customHeight="1" x14ac:dyDescent="0.2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  <c r="AA949" s="38"/>
      <c r="AB949" s="38"/>
      <c r="AC949" s="38"/>
      <c r="AD949" s="38"/>
      <c r="AE949" s="38"/>
      <c r="AF949" s="38"/>
      <c r="AG949" s="38"/>
      <c r="AH949" s="38"/>
      <c r="AI949" s="38"/>
      <c r="AJ949" s="38"/>
    </row>
    <row r="950" spans="1:36" ht="15.75" customHeight="1" x14ac:dyDescent="0.2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  <c r="AA950" s="38"/>
      <c r="AB950" s="38"/>
      <c r="AC950" s="38"/>
      <c r="AD950" s="38"/>
      <c r="AE950" s="38"/>
      <c r="AF950" s="38"/>
      <c r="AG950" s="38"/>
      <c r="AH950" s="38"/>
      <c r="AI950" s="38"/>
      <c r="AJ950" s="38"/>
    </row>
    <row r="951" spans="1:36" ht="15.75" customHeight="1" x14ac:dyDescent="0.2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  <c r="AA951" s="38"/>
      <c r="AB951" s="38"/>
      <c r="AC951" s="38"/>
      <c r="AD951" s="38"/>
      <c r="AE951" s="38"/>
      <c r="AF951" s="38"/>
      <c r="AG951" s="38"/>
      <c r="AH951" s="38"/>
      <c r="AI951" s="38"/>
      <c r="AJ951" s="38"/>
    </row>
    <row r="952" spans="1:36" ht="15.75" customHeight="1" x14ac:dyDescent="0.2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  <c r="AA952" s="38"/>
      <c r="AB952" s="38"/>
      <c r="AC952" s="38"/>
      <c r="AD952" s="38"/>
      <c r="AE952" s="38"/>
      <c r="AF952" s="38"/>
      <c r="AG952" s="38"/>
      <c r="AH952" s="38"/>
      <c r="AI952" s="38"/>
      <c r="AJ952" s="38"/>
    </row>
    <row r="953" spans="1:36" ht="15.75" customHeight="1" x14ac:dyDescent="0.2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  <c r="AA953" s="38"/>
      <c r="AB953" s="38"/>
      <c r="AC953" s="38"/>
      <c r="AD953" s="38"/>
      <c r="AE953" s="38"/>
      <c r="AF953" s="38"/>
      <c r="AG953" s="38"/>
      <c r="AH953" s="38"/>
      <c r="AI953" s="38"/>
      <c r="AJ953" s="38"/>
    </row>
    <row r="954" spans="1:36" ht="15.75" customHeight="1" x14ac:dyDescent="0.2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  <c r="AA954" s="38"/>
      <c r="AB954" s="38"/>
      <c r="AC954" s="38"/>
      <c r="AD954" s="38"/>
      <c r="AE954" s="38"/>
      <c r="AF954" s="38"/>
      <c r="AG954" s="38"/>
      <c r="AH954" s="38"/>
      <c r="AI954" s="38"/>
      <c r="AJ954" s="38"/>
    </row>
    <row r="955" spans="1:36" ht="15.75" customHeight="1" x14ac:dyDescent="0.2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  <c r="AA955" s="38"/>
      <c r="AB955" s="38"/>
      <c r="AC955" s="38"/>
      <c r="AD955" s="38"/>
      <c r="AE955" s="38"/>
      <c r="AF955" s="38"/>
      <c r="AG955" s="38"/>
      <c r="AH955" s="38"/>
      <c r="AI955" s="38"/>
      <c r="AJ955" s="38"/>
    </row>
    <row r="956" spans="1:36" ht="15.75" customHeight="1" x14ac:dyDescent="0.2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  <c r="AA956" s="38"/>
      <c r="AB956" s="38"/>
      <c r="AC956" s="38"/>
      <c r="AD956" s="38"/>
      <c r="AE956" s="38"/>
      <c r="AF956" s="38"/>
      <c r="AG956" s="38"/>
      <c r="AH956" s="38"/>
      <c r="AI956" s="38"/>
      <c r="AJ956" s="38"/>
    </row>
    <row r="957" spans="1:36" ht="15.75" customHeight="1" x14ac:dyDescent="0.2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  <c r="AA957" s="38"/>
      <c r="AB957" s="38"/>
      <c r="AC957" s="38"/>
      <c r="AD957" s="38"/>
      <c r="AE957" s="38"/>
      <c r="AF957" s="38"/>
      <c r="AG957" s="38"/>
      <c r="AH957" s="38"/>
      <c r="AI957" s="38"/>
      <c r="AJ957" s="38"/>
    </row>
    <row r="958" spans="1:36" ht="15.75" customHeight="1" x14ac:dyDescent="0.2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  <c r="AA958" s="38"/>
      <c r="AB958" s="38"/>
      <c r="AC958" s="38"/>
      <c r="AD958" s="38"/>
      <c r="AE958" s="38"/>
      <c r="AF958" s="38"/>
      <c r="AG958" s="38"/>
      <c r="AH958" s="38"/>
      <c r="AI958" s="38"/>
      <c r="AJ958" s="38"/>
    </row>
    <row r="959" spans="1:36" ht="15.75" customHeight="1" x14ac:dyDescent="0.2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  <c r="AA959" s="38"/>
      <c r="AB959" s="38"/>
      <c r="AC959" s="38"/>
      <c r="AD959" s="38"/>
      <c r="AE959" s="38"/>
      <c r="AF959" s="38"/>
      <c r="AG959" s="38"/>
      <c r="AH959" s="38"/>
      <c r="AI959" s="38"/>
      <c r="AJ959" s="38"/>
    </row>
    <row r="960" spans="1:36" ht="15.75" customHeight="1" x14ac:dyDescent="0.2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  <c r="AA960" s="38"/>
      <c r="AB960" s="38"/>
      <c r="AC960" s="38"/>
      <c r="AD960" s="38"/>
      <c r="AE960" s="38"/>
      <c r="AF960" s="38"/>
      <c r="AG960" s="38"/>
      <c r="AH960" s="38"/>
      <c r="AI960" s="38"/>
      <c r="AJ960" s="38"/>
    </row>
    <row r="961" spans="1:36" ht="15.75" customHeight="1" x14ac:dyDescent="0.2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  <c r="AA961" s="38"/>
      <c r="AB961" s="38"/>
      <c r="AC961" s="38"/>
      <c r="AD961" s="38"/>
      <c r="AE961" s="38"/>
      <c r="AF961" s="38"/>
      <c r="AG961" s="38"/>
      <c r="AH961" s="38"/>
      <c r="AI961" s="38"/>
      <c r="AJ961" s="38"/>
    </row>
    <row r="962" spans="1:36" ht="15.75" customHeight="1" x14ac:dyDescent="0.2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  <c r="AA962" s="38"/>
      <c r="AB962" s="38"/>
      <c r="AC962" s="38"/>
      <c r="AD962" s="38"/>
      <c r="AE962" s="38"/>
      <c r="AF962" s="38"/>
      <c r="AG962" s="38"/>
      <c r="AH962" s="38"/>
      <c r="AI962" s="38"/>
      <c r="AJ962" s="38"/>
    </row>
    <row r="963" spans="1:36" ht="15.75" customHeight="1" x14ac:dyDescent="0.2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  <c r="AA963" s="38"/>
      <c r="AB963" s="38"/>
      <c r="AC963" s="38"/>
      <c r="AD963" s="38"/>
      <c r="AE963" s="38"/>
      <c r="AF963" s="38"/>
      <c r="AG963" s="38"/>
      <c r="AH963" s="38"/>
      <c r="AI963" s="38"/>
      <c r="AJ963" s="38"/>
    </row>
    <row r="964" spans="1:36" ht="15.75" customHeight="1" x14ac:dyDescent="0.2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  <c r="AA964" s="38"/>
      <c r="AB964" s="38"/>
      <c r="AC964" s="38"/>
      <c r="AD964" s="38"/>
      <c r="AE964" s="38"/>
      <c r="AF964" s="38"/>
      <c r="AG964" s="38"/>
      <c r="AH964" s="38"/>
      <c r="AI964" s="38"/>
      <c r="AJ964" s="38"/>
    </row>
    <row r="965" spans="1:36" ht="15.75" customHeight="1" x14ac:dyDescent="0.2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  <c r="AA965" s="38"/>
      <c r="AB965" s="38"/>
      <c r="AC965" s="38"/>
      <c r="AD965" s="38"/>
      <c r="AE965" s="38"/>
      <c r="AF965" s="38"/>
      <c r="AG965" s="38"/>
      <c r="AH965" s="38"/>
      <c r="AI965" s="38"/>
      <c r="AJ965" s="38"/>
    </row>
    <row r="966" spans="1:36" ht="15.75" customHeight="1" x14ac:dyDescent="0.2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  <c r="AA966" s="38"/>
      <c r="AB966" s="38"/>
      <c r="AC966" s="38"/>
      <c r="AD966" s="38"/>
      <c r="AE966" s="38"/>
      <c r="AF966" s="38"/>
      <c r="AG966" s="38"/>
      <c r="AH966" s="38"/>
      <c r="AI966" s="38"/>
      <c r="AJ966" s="38"/>
    </row>
    <row r="967" spans="1:36" ht="15.75" customHeight="1" x14ac:dyDescent="0.2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  <c r="AA967" s="38"/>
      <c r="AB967" s="38"/>
      <c r="AC967" s="38"/>
      <c r="AD967" s="38"/>
      <c r="AE967" s="38"/>
      <c r="AF967" s="38"/>
      <c r="AG967" s="38"/>
      <c r="AH967" s="38"/>
      <c r="AI967" s="38"/>
      <c r="AJ967" s="38"/>
    </row>
    <row r="968" spans="1:36" ht="15.75" customHeight="1" x14ac:dyDescent="0.2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  <c r="AA968" s="38"/>
      <c r="AB968" s="38"/>
      <c r="AC968" s="38"/>
      <c r="AD968" s="38"/>
      <c r="AE968" s="38"/>
      <c r="AF968" s="38"/>
      <c r="AG968" s="38"/>
      <c r="AH968" s="38"/>
      <c r="AI968" s="38"/>
      <c r="AJ968" s="38"/>
    </row>
    <row r="969" spans="1:36" ht="15.75" customHeight="1" x14ac:dyDescent="0.2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  <c r="AA969" s="38"/>
      <c r="AB969" s="38"/>
      <c r="AC969" s="38"/>
      <c r="AD969" s="38"/>
      <c r="AE969" s="38"/>
      <c r="AF969" s="38"/>
      <c r="AG969" s="38"/>
      <c r="AH969" s="38"/>
      <c r="AI969" s="38"/>
      <c r="AJ969" s="38"/>
    </row>
    <row r="970" spans="1:36" ht="15.75" customHeight="1" x14ac:dyDescent="0.2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  <c r="AA970" s="38"/>
      <c r="AB970" s="38"/>
      <c r="AC970" s="38"/>
      <c r="AD970" s="38"/>
      <c r="AE970" s="38"/>
      <c r="AF970" s="38"/>
      <c r="AG970" s="38"/>
      <c r="AH970" s="38"/>
      <c r="AI970" s="38"/>
      <c r="AJ970" s="38"/>
    </row>
    <row r="971" spans="1:36" ht="15.75" customHeight="1" x14ac:dyDescent="0.2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  <c r="AA971" s="38"/>
      <c r="AB971" s="38"/>
      <c r="AC971" s="38"/>
      <c r="AD971" s="38"/>
      <c r="AE971" s="38"/>
      <c r="AF971" s="38"/>
      <c r="AG971" s="38"/>
      <c r="AH971" s="38"/>
      <c r="AI971" s="38"/>
      <c r="AJ971" s="38"/>
    </row>
    <row r="972" spans="1:36" ht="15.75" customHeight="1" x14ac:dyDescent="0.2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  <c r="AA972" s="38"/>
      <c r="AB972" s="38"/>
      <c r="AC972" s="38"/>
      <c r="AD972" s="38"/>
      <c r="AE972" s="38"/>
      <c r="AF972" s="38"/>
      <c r="AG972" s="38"/>
      <c r="AH972" s="38"/>
      <c r="AI972" s="38"/>
      <c r="AJ972" s="38"/>
    </row>
    <row r="973" spans="1:36" ht="15.75" customHeight="1" x14ac:dyDescent="0.2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  <c r="AA973" s="38"/>
      <c r="AB973" s="38"/>
      <c r="AC973" s="38"/>
      <c r="AD973" s="38"/>
      <c r="AE973" s="38"/>
      <c r="AF973" s="38"/>
      <c r="AG973" s="38"/>
      <c r="AH973" s="38"/>
      <c r="AI973" s="38"/>
      <c r="AJ973" s="38"/>
    </row>
    <row r="974" spans="1:36" ht="15.75" customHeight="1" x14ac:dyDescent="0.2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  <c r="AA974" s="38"/>
      <c r="AB974" s="38"/>
      <c r="AC974" s="38"/>
      <c r="AD974" s="38"/>
      <c r="AE974" s="38"/>
      <c r="AF974" s="38"/>
      <c r="AG974" s="38"/>
      <c r="AH974" s="38"/>
      <c r="AI974" s="38"/>
      <c r="AJ974" s="38"/>
    </row>
    <row r="975" spans="1:36" ht="15.75" customHeight="1" x14ac:dyDescent="0.2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  <c r="AA975" s="38"/>
      <c r="AB975" s="38"/>
      <c r="AC975" s="38"/>
      <c r="AD975" s="38"/>
      <c r="AE975" s="38"/>
      <c r="AF975" s="38"/>
      <c r="AG975" s="38"/>
      <c r="AH975" s="38"/>
      <c r="AI975" s="38"/>
      <c r="AJ975" s="38"/>
    </row>
    <row r="976" spans="1:36" ht="15.75" customHeight="1" x14ac:dyDescent="0.2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  <c r="AA976" s="38"/>
      <c r="AB976" s="38"/>
      <c r="AC976" s="38"/>
      <c r="AD976" s="38"/>
      <c r="AE976" s="38"/>
      <c r="AF976" s="38"/>
      <c r="AG976" s="38"/>
      <c r="AH976" s="38"/>
      <c r="AI976" s="38"/>
      <c r="AJ976" s="38"/>
    </row>
    <row r="977" spans="1:36" ht="15.75" customHeight="1" x14ac:dyDescent="0.2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  <c r="AA977" s="38"/>
      <c r="AB977" s="38"/>
      <c r="AC977" s="38"/>
      <c r="AD977" s="38"/>
      <c r="AE977" s="38"/>
      <c r="AF977" s="38"/>
      <c r="AG977" s="38"/>
      <c r="AH977" s="38"/>
      <c r="AI977" s="38"/>
      <c r="AJ977" s="38"/>
    </row>
    <row r="978" spans="1:36" ht="15.75" customHeight="1" x14ac:dyDescent="0.2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  <c r="AA978" s="38"/>
      <c r="AB978" s="38"/>
      <c r="AC978" s="38"/>
      <c r="AD978" s="38"/>
      <c r="AE978" s="38"/>
      <c r="AF978" s="38"/>
      <c r="AG978" s="38"/>
      <c r="AH978" s="38"/>
      <c r="AI978" s="38"/>
      <c r="AJ978" s="38"/>
    </row>
    <row r="979" spans="1:36" ht="15.75" customHeight="1" x14ac:dyDescent="0.2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  <c r="AA979" s="38"/>
      <c r="AB979" s="38"/>
      <c r="AC979" s="38"/>
      <c r="AD979" s="38"/>
      <c r="AE979" s="38"/>
      <c r="AF979" s="38"/>
      <c r="AG979" s="38"/>
      <c r="AH979" s="38"/>
      <c r="AI979" s="38"/>
      <c r="AJ979" s="38"/>
    </row>
    <row r="980" spans="1:36" ht="15.75" customHeight="1" x14ac:dyDescent="0.2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  <c r="AA980" s="38"/>
      <c r="AB980" s="38"/>
      <c r="AC980" s="38"/>
      <c r="AD980" s="38"/>
      <c r="AE980" s="38"/>
      <c r="AF980" s="38"/>
      <c r="AG980" s="38"/>
      <c r="AH980" s="38"/>
      <c r="AI980" s="38"/>
      <c r="AJ980" s="38"/>
    </row>
    <row r="981" spans="1:36" ht="15.75" customHeight="1" x14ac:dyDescent="0.2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  <c r="AA981" s="38"/>
      <c r="AB981" s="38"/>
      <c r="AC981" s="38"/>
      <c r="AD981" s="38"/>
      <c r="AE981" s="38"/>
      <c r="AF981" s="38"/>
      <c r="AG981" s="38"/>
      <c r="AH981" s="38"/>
      <c r="AI981" s="38"/>
      <c r="AJ981" s="38"/>
    </row>
    <row r="982" spans="1:36" ht="15.75" customHeight="1" x14ac:dyDescent="0.2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  <c r="AA982" s="38"/>
      <c r="AB982" s="38"/>
      <c r="AC982" s="38"/>
      <c r="AD982" s="38"/>
      <c r="AE982" s="38"/>
      <c r="AF982" s="38"/>
      <c r="AG982" s="38"/>
      <c r="AH982" s="38"/>
      <c r="AI982" s="38"/>
      <c r="AJ982" s="38"/>
    </row>
    <row r="983" spans="1:36" ht="15.75" customHeight="1" x14ac:dyDescent="0.2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  <c r="AA983" s="38"/>
      <c r="AB983" s="38"/>
      <c r="AC983" s="38"/>
      <c r="AD983" s="38"/>
      <c r="AE983" s="38"/>
      <c r="AF983" s="38"/>
      <c r="AG983" s="38"/>
      <c r="AH983" s="38"/>
      <c r="AI983" s="38"/>
      <c r="AJ983" s="38"/>
    </row>
    <row r="984" spans="1:36" ht="15.75" customHeight="1" x14ac:dyDescent="0.2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  <c r="AA984" s="38"/>
      <c r="AB984" s="38"/>
      <c r="AC984" s="38"/>
      <c r="AD984" s="38"/>
      <c r="AE984" s="38"/>
      <c r="AF984" s="38"/>
      <c r="AG984" s="38"/>
      <c r="AH984" s="38"/>
      <c r="AI984" s="38"/>
      <c r="AJ984" s="38"/>
    </row>
    <row r="985" spans="1:36" ht="15.75" customHeight="1" x14ac:dyDescent="0.2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  <c r="AA985" s="38"/>
      <c r="AB985" s="38"/>
      <c r="AC985" s="38"/>
      <c r="AD985" s="38"/>
      <c r="AE985" s="38"/>
      <c r="AF985" s="38"/>
      <c r="AG985" s="38"/>
      <c r="AH985" s="38"/>
      <c r="AI985" s="38"/>
      <c r="AJ985" s="38"/>
    </row>
    <row r="986" spans="1:36" ht="15.75" customHeight="1" x14ac:dyDescent="0.2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  <c r="AA986" s="38"/>
      <c r="AB986" s="38"/>
      <c r="AC986" s="38"/>
      <c r="AD986" s="38"/>
      <c r="AE986" s="38"/>
      <c r="AF986" s="38"/>
      <c r="AG986" s="38"/>
      <c r="AH986" s="38"/>
      <c r="AI986" s="38"/>
      <c r="AJ986" s="38"/>
    </row>
    <row r="987" spans="1:36" ht="15.75" customHeight="1" x14ac:dyDescent="0.2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  <c r="AA987" s="38"/>
      <c r="AB987" s="38"/>
      <c r="AC987" s="38"/>
      <c r="AD987" s="38"/>
      <c r="AE987" s="38"/>
      <c r="AF987" s="38"/>
      <c r="AG987" s="38"/>
      <c r="AH987" s="38"/>
      <c r="AI987" s="38"/>
      <c r="AJ987" s="38"/>
    </row>
    <row r="988" spans="1:36" ht="15.75" customHeight="1" x14ac:dyDescent="0.2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  <c r="AA988" s="38"/>
      <c r="AB988" s="38"/>
      <c r="AC988" s="38"/>
      <c r="AD988" s="38"/>
      <c r="AE988" s="38"/>
      <c r="AF988" s="38"/>
      <c r="AG988" s="38"/>
      <c r="AH988" s="38"/>
      <c r="AI988" s="38"/>
      <c r="AJ988" s="38"/>
    </row>
    <row r="989" spans="1:36" ht="15.75" customHeight="1" x14ac:dyDescent="0.2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  <c r="AA989" s="38"/>
      <c r="AB989" s="38"/>
      <c r="AC989" s="38"/>
      <c r="AD989" s="38"/>
      <c r="AE989" s="38"/>
      <c r="AF989" s="38"/>
      <c r="AG989" s="38"/>
      <c r="AH989" s="38"/>
      <c r="AI989" s="38"/>
      <c r="AJ989" s="38"/>
    </row>
    <row r="990" spans="1:36" ht="15.75" customHeight="1" x14ac:dyDescent="0.2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  <c r="AA990" s="38"/>
      <c r="AB990" s="38"/>
      <c r="AC990" s="38"/>
      <c r="AD990" s="38"/>
      <c r="AE990" s="38"/>
      <c r="AF990" s="38"/>
      <c r="AG990" s="38"/>
      <c r="AH990" s="38"/>
      <c r="AI990" s="38"/>
      <c r="AJ990" s="38"/>
    </row>
    <row r="991" spans="1:36" ht="15.75" customHeight="1" x14ac:dyDescent="0.2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  <c r="AA991" s="38"/>
      <c r="AB991" s="38"/>
      <c r="AC991" s="38"/>
      <c r="AD991" s="38"/>
      <c r="AE991" s="38"/>
      <c r="AF991" s="38"/>
      <c r="AG991" s="38"/>
      <c r="AH991" s="38"/>
      <c r="AI991" s="38"/>
      <c r="AJ991" s="38"/>
    </row>
    <row r="992" spans="1:36" ht="15.75" customHeight="1" x14ac:dyDescent="0.2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  <c r="AA992" s="38"/>
      <c r="AB992" s="38"/>
      <c r="AC992" s="38"/>
      <c r="AD992" s="38"/>
      <c r="AE992" s="38"/>
      <c r="AF992" s="38"/>
      <c r="AG992" s="38"/>
      <c r="AH992" s="38"/>
      <c r="AI992" s="38"/>
      <c r="AJ992" s="38"/>
    </row>
    <row r="993" spans="1:36" ht="15.75" customHeight="1" x14ac:dyDescent="0.2">
      <c r="A993" s="38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  <c r="AA993" s="38"/>
      <c r="AB993" s="38"/>
      <c r="AC993" s="38"/>
      <c r="AD993" s="38"/>
      <c r="AE993" s="38"/>
      <c r="AF993" s="38"/>
      <c r="AG993" s="38"/>
      <c r="AH993" s="38"/>
      <c r="AI993" s="38"/>
      <c r="AJ993" s="38"/>
    </row>
    <row r="994" spans="1:36" ht="15.75" customHeight="1" x14ac:dyDescent="0.2">
      <c r="A994" s="38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  <c r="AA994" s="38"/>
      <c r="AB994" s="38"/>
      <c r="AC994" s="38"/>
      <c r="AD994" s="38"/>
      <c r="AE994" s="38"/>
      <c r="AF994" s="38"/>
      <c r="AG994" s="38"/>
      <c r="AH994" s="38"/>
      <c r="AI994" s="38"/>
      <c r="AJ994" s="38"/>
    </row>
    <row r="995" spans="1:36" ht="15.75" customHeight="1" x14ac:dyDescent="0.2">
      <c r="A995" s="38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  <c r="AA995" s="38"/>
      <c r="AB995" s="38"/>
      <c r="AC995" s="38"/>
      <c r="AD995" s="38"/>
      <c r="AE995" s="38"/>
      <c r="AF995" s="38"/>
      <c r="AG995" s="38"/>
      <c r="AH995" s="38"/>
      <c r="AI995" s="38"/>
      <c r="AJ995" s="38"/>
    </row>
    <row r="996" spans="1:36" ht="15.75" customHeight="1" x14ac:dyDescent="0.2">
      <c r="A996" s="38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  <c r="AA996" s="38"/>
      <c r="AB996" s="38"/>
      <c r="AC996" s="38"/>
      <c r="AD996" s="38"/>
      <c r="AE996" s="38"/>
      <c r="AF996" s="38"/>
      <c r="AG996" s="38"/>
      <c r="AH996" s="38"/>
      <c r="AI996" s="38"/>
      <c r="AJ996" s="38"/>
    </row>
    <row r="997" spans="1:36" ht="15.75" customHeight="1" x14ac:dyDescent="0.2">
      <c r="A997" s="38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  <c r="AA997" s="38"/>
      <c r="AB997" s="38"/>
      <c r="AC997" s="38"/>
      <c r="AD997" s="38"/>
      <c r="AE997" s="38"/>
      <c r="AF997" s="38"/>
      <c r="AG997" s="38"/>
      <c r="AH997" s="38"/>
      <c r="AI997" s="38"/>
      <c r="AJ997" s="38"/>
    </row>
    <row r="998" spans="1:36" ht="15.75" customHeight="1" x14ac:dyDescent="0.2">
      <c r="A998" s="38"/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  <c r="AA998" s="38"/>
      <c r="AB998" s="38"/>
      <c r="AC998" s="38"/>
      <c r="AD998" s="38"/>
      <c r="AE998" s="38"/>
      <c r="AF998" s="38"/>
      <c r="AG998" s="38"/>
      <c r="AH998" s="38"/>
      <c r="AI998" s="38"/>
      <c r="AJ998" s="38"/>
    </row>
    <row r="999" spans="1:36" ht="15.75" customHeight="1" x14ac:dyDescent="0.2">
      <c r="A999" s="38"/>
      <c r="B999" s="38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  <c r="AA999" s="38"/>
      <c r="AB999" s="38"/>
      <c r="AC999" s="38"/>
      <c r="AD999" s="38"/>
      <c r="AE999" s="38"/>
      <c r="AF999" s="38"/>
      <c r="AG999" s="38"/>
      <c r="AH999" s="38"/>
      <c r="AI999" s="38"/>
      <c r="AJ999" s="38"/>
    </row>
    <row r="1000" spans="1:36" ht="15.75" customHeight="1" x14ac:dyDescent="0.2">
      <c r="A1000" s="38"/>
      <c r="B1000" s="38"/>
      <c r="C1000" s="38"/>
      <c r="D1000" s="38"/>
      <c r="E1000" s="38"/>
      <c r="F1000" s="38"/>
      <c r="G1000" s="38"/>
      <c r="H1000" s="38"/>
      <c r="I1000" s="38"/>
      <c r="J1000" s="38"/>
      <c r="K1000" s="38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  <c r="Y1000" s="38"/>
      <c r="Z1000" s="38"/>
      <c r="AA1000" s="38"/>
      <c r="AB1000" s="38"/>
      <c r="AC1000" s="38"/>
      <c r="AD1000" s="38"/>
      <c r="AE1000" s="38"/>
      <c r="AF1000" s="38"/>
      <c r="AG1000" s="38"/>
      <c r="AH1000" s="38"/>
      <c r="AI1000" s="38"/>
      <c r="AJ1000" s="38"/>
    </row>
  </sheetData>
  <hyperlinks>
    <hyperlink ref="A31" r:id="rId1" location="resultado" xr:uid="{FFEF25D6-40B6-6546-BB47-69614C7889A8}"/>
  </hyperlinks>
  <pageMargins left="0.511811024" right="0.511811024" top="0.78740157499999996" bottom="0.78740157499999996" header="0" footer="0"/>
  <pageSetup orientation="landscape"/>
  <headerFooter>
    <oddFooter>&amp;L_x000D_&amp;1#&amp;"Calibri"&amp;10&amp;K000000 Classificação - Restrito | Classification - Restricted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BCFA-0090-9849-9421-DADE2498C133}">
  <dimension ref="B2:F21"/>
  <sheetViews>
    <sheetView topLeftCell="A15" workbookViewId="0">
      <selection activeCell="A25" sqref="A25"/>
    </sheetView>
  </sheetViews>
  <sheetFormatPr baseColWidth="10" defaultRowHeight="16" x14ac:dyDescent="0.2"/>
  <cols>
    <col min="3" max="3" width="44.1640625" bestFit="1" customWidth="1"/>
    <col min="4" max="4" width="29.83203125" customWidth="1"/>
    <col min="5" max="5" width="16" customWidth="1"/>
    <col min="6" max="6" width="29.5" customWidth="1"/>
  </cols>
  <sheetData>
    <row r="2" spans="2:6" s="137" customFormat="1" ht="34" x14ac:dyDescent="0.2">
      <c r="B2" s="141">
        <v>2000</v>
      </c>
      <c r="C2" s="142" t="s">
        <v>268</v>
      </c>
      <c r="D2" s="142" t="s">
        <v>269</v>
      </c>
      <c r="E2" s="142" t="s">
        <v>271</v>
      </c>
      <c r="F2" s="142" t="s">
        <v>273</v>
      </c>
    </row>
    <row r="3" spans="2:6" s="137" customFormat="1" ht="170" x14ac:dyDescent="0.2">
      <c r="B3" s="141" t="s">
        <v>266</v>
      </c>
      <c r="C3" s="142" t="s">
        <v>267</v>
      </c>
      <c r="D3" s="142" t="s">
        <v>270</v>
      </c>
      <c r="E3" s="142" t="s">
        <v>272</v>
      </c>
      <c r="F3" s="142" t="s">
        <v>281</v>
      </c>
    </row>
    <row r="4" spans="2:6" ht="34" x14ac:dyDescent="0.2">
      <c r="B4" s="143">
        <v>2010</v>
      </c>
      <c r="C4" s="143" t="s">
        <v>274</v>
      </c>
      <c r="D4" s="144" t="s">
        <v>276</v>
      </c>
      <c r="E4" s="144" t="s">
        <v>278</v>
      </c>
      <c r="F4" s="142" t="s">
        <v>273</v>
      </c>
    </row>
    <row r="5" spans="2:6" ht="119" x14ac:dyDescent="0.2">
      <c r="B5" s="143" t="s">
        <v>266</v>
      </c>
      <c r="C5" s="145" t="s">
        <v>275</v>
      </c>
      <c r="D5" s="145" t="s">
        <v>277</v>
      </c>
      <c r="E5" s="145" t="s">
        <v>279</v>
      </c>
      <c r="F5" s="145" t="s">
        <v>280</v>
      </c>
    </row>
    <row r="6" spans="2:6" x14ac:dyDescent="0.2">
      <c r="B6" s="138"/>
      <c r="C6" s="138"/>
      <c r="D6" s="138"/>
      <c r="E6" s="138"/>
      <c r="F6" s="140"/>
    </row>
    <row r="7" spans="2:6" ht="17" x14ac:dyDescent="0.2">
      <c r="B7">
        <v>2000</v>
      </c>
      <c r="C7" s="142" t="s">
        <v>283</v>
      </c>
      <c r="D7" s="142" t="s">
        <v>284</v>
      </c>
    </row>
    <row r="8" spans="2:6" ht="187" x14ac:dyDescent="0.2">
      <c r="B8" t="s">
        <v>282</v>
      </c>
      <c r="C8" s="66" t="s">
        <v>290</v>
      </c>
      <c r="D8" s="66" t="s">
        <v>288</v>
      </c>
    </row>
    <row r="9" spans="2:6" ht="51" x14ac:dyDescent="0.2">
      <c r="B9">
        <v>2010</v>
      </c>
      <c r="C9" s="142" t="s">
        <v>286</v>
      </c>
      <c r="D9" s="142" t="s">
        <v>287</v>
      </c>
    </row>
    <row r="10" spans="2:6" ht="85" x14ac:dyDescent="0.2">
      <c r="B10" t="s">
        <v>285</v>
      </c>
      <c r="C10" s="66" t="s">
        <v>289</v>
      </c>
      <c r="D10" s="146" t="s">
        <v>294</v>
      </c>
    </row>
    <row r="12" spans="2:6" x14ac:dyDescent="0.2">
      <c r="B12">
        <v>2000</v>
      </c>
      <c r="C12" t="s">
        <v>291</v>
      </c>
      <c r="D12" t="s">
        <v>295</v>
      </c>
    </row>
    <row r="13" spans="2:6" ht="119" x14ac:dyDescent="0.2">
      <c r="B13" t="s">
        <v>292</v>
      </c>
      <c r="C13" s="66" t="s">
        <v>293</v>
      </c>
      <c r="D13" s="146" t="s">
        <v>302</v>
      </c>
    </row>
    <row r="14" spans="2:6" x14ac:dyDescent="0.2">
      <c r="B14">
        <v>2010</v>
      </c>
      <c r="C14" t="s">
        <v>296</v>
      </c>
      <c r="D14" t="s">
        <v>299</v>
      </c>
    </row>
    <row r="15" spans="2:6" ht="136" x14ac:dyDescent="0.2">
      <c r="C15" s="66" t="s">
        <v>297</v>
      </c>
      <c r="D15" s="66" t="s">
        <v>298</v>
      </c>
    </row>
    <row r="16" spans="2:6" x14ac:dyDescent="0.2">
      <c r="B16" t="s">
        <v>304</v>
      </c>
    </row>
    <row r="17" spans="2:3" ht="51" x14ac:dyDescent="0.2">
      <c r="B17">
        <v>2000</v>
      </c>
      <c r="C17" s="66" t="s">
        <v>300</v>
      </c>
    </row>
    <row r="18" spans="2:3" x14ac:dyDescent="0.2">
      <c r="B18">
        <v>2010</v>
      </c>
      <c r="C18" t="s">
        <v>303</v>
      </c>
    </row>
    <row r="19" spans="2:3" x14ac:dyDescent="0.2">
      <c r="B19" t="s">
        <v>305</v>
      </c>
    </row>
    <row r="20" spans="2:3" ht="51" x14ac:dyDescent="0.2">
      <c r="B20">
        <v>2000</v>
      </c>
      <c r="C20" s="66" t="s">
        <v>306</v>
      </c>
    </row>
    <row r="21" spans="2:3" x14ac:dyDescent="0.2">
      <c r="B21">
        <v>2010</v>
      </c>
      <c r="C21" t="s">
        <v>307</v>
      </c>
    </row>
  </sheetData>
  <phoneticPr fontId="20" type="noConversion"/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3EAE8-17E7-2A4B-B0B0-714D9EA62FB7}">
  <dimension ref="A1:C18"/>
  <sheetViews>
    <sheetView workbookViewId="0">
      <selection activeCell="A16" sqref="A16:C16"/>
    </sheetView>
  </sheetViews>
  <sheetFormatPr baseColWidth="10" defaultRowHeight="16" x14ac:dyDescent="0.2"/>
  <cols>
    <col min="1" max="1" width="13.6640625" bestFit="1" customWidth="1"/>
    <col min="2" max="3" width="48.6640625" style="66" customWidth="1"/>
  </cols>
  <sheetData>
    <row r="1" spans="1:3" ht="17" x14ac:dyDescent="0.2">
      <c r="A1" s="148" t="s">
        <v>311</v>
      </c>
      <c r="B1" s="149" t="s">
        <v>312</v>
      </c>
      <c r="C1" s="149" t="s">
        <v>313</v>
      </c>
    </row>
    <row r="2" spans="1:3" ht="51" x14ac:dyDescent="0.2">
      <c r="A2" s="150" t="s">
        <v>266</v>
      </c>
      <c r="B2" s="151" t="s">
        <v>330</v>
      </c>
      <c r="C2" s="151" t="s">
        <v>331</v>
      </c>
    </row>
    <row r="3" spans="1:3" ht="34" x14ac:dyDescent="0.2">
      <c r="A3" s="150" t="s">
        <v>282</v>
      </c>
      <c r="B3" s="151" t="s">
        <v>332</v>
      </c>
      <c r="C3" s="151" t="s">
        <v>333</v>
      </c>
    </row>
    <row r="4" spans="1:3" ht="17" x14ac:dyDescent="0.2">
      <c r="A4" s="150" t="s">
        <v>314</v>
      </c>
      <c r="B4" s="151" t="s">
        <v>334</v>
      </c>
      <c r="C4" s="151" t="s">
        <v>335</v>
      </c>
    </row>
    <row r="5" spans="1:3" ht="17" x14ac:dyDescent="0.2">
      <c r="A5" s="150" t="s">
        <v>301</v>
      </c>
      <c r="B5" s="151" t="s">
        <v>336</v>
      </c>
      <c r="C5" s="151" t="s">
        <v>337</v>
      </c>
    </row>
    <row r="6" spans="1:3" ht="34" x14ac:dyDescent="0.2">
      <c r="A6" s="150" t="s">
        <v>305</v>
      </c>
      <c r="B6" s="151" t="s">
        <v>338</v>
      </c>
      <c r="C6" s="151" t="s">
        <v>339</v>
      </c>
    </row>
    <row r="7" spans="1:3" ht="17" x14ac:dyDescent="0.2">
      <c r="A7" s="150" t="s">
        <v>315</v>
      </c>
      <c r="B7" s="151" t="s">
        <v>340</v>
      </c>
      <c r="C7" s="151" t="s">
        <v>341</v>
      </c>
    </row>
    <row r="8" spans="1:3" ht="17" x14ac:dyDescent="0.2">
      <c r="A8" s="150" t="s">
        <v>316</v>
      </c>
      <c r="B8" s="151" t="s">
        <v>342</v>
      </c>
      <c r="C8" s="151" t="s">
        <v>343</v>
      </c>
    </row>
    <row r="9" spans="1:3" ht="17" x14ac:dyDescent="0.2">
      <c r="A9" s="150" t="s">
        <v>317</v>
      </c>
      <c r="B9" s="151" t="s">
        <v>344</v>
      </c>
      <c r="C9" s="151" t="s">
        <v>345</v>
      </c>
    </row>
    <row r="10" spans="1:3" ht="17" x14ac:dyDescent="0.2">
      <c r="A10" s="150" t="s">
        <v>318</v>
      </c>
      <c r="B10" s="152" t="s">
        <v>346</v>
      </c>
      <c r="C10" s="152" t="s">
        <v>347</v>
      </c>
    </row>
    <row r="11" spans="1:3" ht="17" x14ac:dyDescent="0.2">
      <c r="A11" s="150" t="s">
        <v>319</v>
      </c>
      <c r="B11" s="151" t="s">
        <v>348</v>
      </c>
      <c r="C11" s="151" t="s">
        <v>349</v>
      </c>
    </row>
    <row r="12" spans="1:3" ht="17" x14ac:dyDescent="0.2">
      <c r="A12" s="150" t="s">
        <v>320</v>
      </c>
      <c r="B12" s="151" t="s">
        <v>350</v>
      </c>
      <c r="C12" s="151" t="s">
        <v>351</v>
      </c>
    </row>
    <row r="13" spans="1:3" ht="17" x14ac:dyDescent="0.2">
      <c r="A13" s="150" t="s">
        <v>321</v>
      </c>
      <c r="B13" s="152" t="s">
        <v>322</v>
      </c>
      <c r="C13" s="152" t="s">
        <v>322</v>
      </c>
    </row>
    <row r="14" spans="1:3" ht="17" x14ac:dyDescent="0.2">
      <c r="A14" s="150" t="s">
        <v>323</v>
      </c>
      <c r="B14" s="151" t="s">
        <v>352</v>
      </c>
      <c r="C14" s="151" t="s">
        <v>353</v>
      </c>
    </row>
    <row r="15" spans="1:3" ht="17" x14ac:dyDescent="0.2">
      <c r="A15" s="150" t="s">
        <v>324</v>
      </c>
      <c r="B15" s="151" t="s">
        <v>354</v>
      </c>
      <c r="C15" s="151" t="s">
        <v>355</v>
      </c>
    </row>
    <row r="16" spans="1:3" ht="17" x14ac:dyDescent="0.2">
      <c r="A16" s="150" t="s">
        <v>325</v>
      </c>
      <c r="B16" s="151" t="s">
        <v>356</v>
      </c>
      <c r="C16" s="151" t="s">
        <v>357</v>
      </c>
    </row>
    <row r="17" spans="1:3" ht="17" x14ac:dyDescent="0.2">
      <c r="A17" s="148" t="s">
        <v>326</v>
      </c>
      <c r="B17" s="149" t="s">
        <v>327</v>
      </c>
      <c r="C17" s="149" t="s">
        <v>327</v>
      </c>
    </row>
    <row r="18" spans="1:3" ht="17" x14ac:dyDescent="0.2">
      <c r="A18" s="148" t="s">
        <v>328</v>
      </c>
      <c r="B18" s="149" t="s">
        <v>329</v>
      </c>
      <c r="C18" s="149" t="s">
        <v>329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4D2A9-1AFC-224C-9758-C3954B173C29}">
  <dimension ref="A1:D32"/>
  <sheetViews>
    <sheetView topLeftCell="A12" workbookViewId="0">
      <selection activeCell="A33" sqref="A33"/>
    </sheetView>
  </sheetViews>
  <sheetFormatPr baseColWidth="10" defaultRowHeight="16" x14ac:dyDescent="0.2"/>
  <cols>
    <col min="1" max="4" width="40.83203125" customWidth="1"/>
  </cols>
  <sheetData>
    <row r="1" spans="1:4" ht="17" x14ac:dyDescent="0.2">
      <c r="A1" s="139" t="s">
        <v>360</v>
      </c>
      <c r="B1" s="139" t="s">
        <v>361</v>
      </c>
      <c r="C1" s="139" t="s">
        <v>362</v>
      </c>
      <c r="D1" s="139" t="s">
        <v>363</v>
      </c>
    </row>
    <row r="2" spans="1:4" ht="34" x14ac:dyDescent="0.2">
      <c r="A2" s="158" t="s">
        <v>364</v>
      </c>
      <c r="B2" s="159" t="s">
        <v>365</v>
      </c>
      <c r="C2" s="159" t="s">
        <v>366</v>
      </c>
      <c r="D2" s="159" t="s">
        <v>367</v>
      </c>
    </row>
    <row r="3" spans="1:4" ht="34" x14ac:dyDescent="0.2">
      <c r="A3" s="158" t="s">
        <v>368</v>
      </c>
      <c r="B3" s="159" t="s">
        <v>365</v>
      </c>
      <c r="C3" s="159" t="s">
        <v>369</v>
      </c>
      <c r="D3" s="159" t="s">
        <v>370</v>
      </c>
    </row>
    <row r="4" spans="1:4" ht="51" x14ac:dyDescent="0.2">
      <c r="A4" s="158" t="s">
        <v>371</v>
      </c>
      <c r="B4" s="159" t="s">
        <v>372</v>
      </c>
      <c r="C4" s="159" t="s">
        <v>373</v>
      </c>
      <c r="D4" s="159" t="s">
        <v>374</v>
      </c>
    </row>
    <row r="5" spans="1:4" ht="34" x14ac:dyDescent="0.2">
      <c r="A5" s="160" t="s">
        <v>375</v>
      </c>
      <c r="B5" s="161" t="s">
        <v>376</v>
      </c>
      <c r="C5" s="161" t="s">
        <v>377</v>
      </c>
      <c r="D5" s="161" t="s">
        <v>378</v>
      </c>
    </row>
    <row r="6" spans="1:4" ht="34" x14ac:dyDescent="0.2">
      <c r="A6" s="139" t="s">
        <v>379</v>
      </c>
      <c r="B6" s="66" t="s">
        <v>380</v>
      </c>
      <c r="C6" s="66" t="s">
        <v>381</v>
      </c>
      <c r="D6" s="66" t="s">
        <v>382</v>
      </c>
    </row>
    <row r="7" spans="1:4" ht="51" x14ac:dyDescent="0.2">
      <c r="A7" s="139" t="s">
        <v>383</v>
      </c>
      <c r="B7" s="66" t="s">
        <v>384</v>
      </c>
      <c r="C7" s="66" t="s">
        <v>385</v>
      </c>
      <c r="D7" s="66" t="s">
        <v>386</v>
      </c>
    </row>
    <row r="8" spans="1:4" ht="34" x14ac:dyDescent="0.2">
      <c r="A8" s="139" t="s">
        <v>387</v>
      </c>
      <c r="B8" s="66" t="s">
        <v>380</v>
      </c>
      <c r="C8" s="66" t="s">
        <v>388</v>
      </c>
      <c r="D8" s="66" t="s">
        <v>389</v>
      </c>
    </row>
    <row r="9" spans="1:4" ht="34" x14ac:dyDescent="0.2">
      <c r="A9" s="165" t="s">
        <v>390</v>
      </c>
      <c r="B9" s="166" t="s">
        <v>391</v>
      </c>
      <c r="C9" s="167" t="s">
        <v>392</v>
      </c>
      <c r="D9" s="166" t="s">
        <v>393</v>
      </c>
    </row>
    <row r="10" spans="1:4" ht="17" x14ac:dyDescent="0.2">
      <c r="A10" s="162" t="s">
        <v>394</v>
      </c>
      <c r="B10" s="163" t="s">
        <v>395</v>
      </c>
      <c r="C10" s="164" t="s">
        <v>396</v>
      </c>
      <c r="D10" s="163" t="s">
        <v>397</v>
      </c>
    </row>
    <row r="13" spans="1:4" ht="19" x14ac:dyDescent="0.25">
      <c r="A13" s="168" t="s">
        <v>401</v>
      </c>
    </row>
    <row r="15" spans="1:4" x14ac:dyDescent="0.2">
      <c r="A15" s="119" t="s">
        <v>402</v>
      </c>
    </row>
    <row r="16" spans="1:4" x14ac:dyDescent="0.2">
      <c r="A16" t="s">
        <v>403</v>
      </c>
    </row>
    <row r="18" spans="1:1" x14ac:dyDescent="0.2">
      <c r="A18" s="119" t="s">
        <v>398</v>
      </c>
    </row>
    <row r="19" spans="1:1" x14ac:dyDescent="0.2">
      <c r="A19" t="s">
        <v>404</v>
      </c>
    </row>
    <row r="21" spans="1:1" x14ac:dyDescent="0.2">
      <c r="A21" s="119" t="s">
        <v>405</v>
      </c>
    </row>
    <row r="22" spans="1:1" x14ac:dyDescent="0.2">
      <c r="A22" t="s">
        <v>406</v>
      </c>
    </row>
    <row r="24" spans="1:1" x14ac:dyDescent="0.2">
      <c r="A24" s="119" t="s">
        <v>399</v>
      </c>
    </row>
    <row r="25" spans="1:1" x14ac:dyDescent="0.2">
      <c r="A25" t="s">
        <v>407</v>
      </c>
    </row>
    <row r="27" spans="1:1" x14ac:dyDescent="0.2">
      <c r="A27" s="119" t="s">
        <v>400</v>
      </c>
    </row>
    <row r="28" spans="1:1" x14ac:dyDescent="0.2">
      <c r="A28" t="s">
        <v>408</v>
      </c>
    </row>
    <row r="32" spans="1:1" ht="204" x14ac:dyDescent="0.2">
      <c r="A32" s="66" t="s">
        <v>409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15</vt:i4>
      </vt:variant>
    </vt:vector>
  </HeadingPairs>
  <TitlesOfParts>
    <vt:vector size="15" baseType="lpstr">
      <vt:lpstr>distribuiçao nas atividades</vt:lpstr>
      <vt:lpstr>parturição_area</vt:lpstr>
      <vt:lpstr>TFT_area_atuacao</vt:lpstr>
      <vt:lpstr>parturição</vt:lpstr>
      <vt:lpstr>descritiva_total</vt:lpstr>
      <vt:lpstr>Planilha1</vt:lpstr>
      <vt:lpstr>childless</vt:lpstr>
      <vt:lpstr>idade_media_primeiro_filho</vt:lpstr>
      <vt:lpstr>part_esco_pub</vt:lpstr>
      <vt:lpstr>Planilha6</vt:lpstr>
      <vt:lpstr>descritiva_func_pub</vt:lpstr>
      <vt:lpstr>TFT_ocupadas</vt:lpstr>
      <vt:lpstr>Planilha7</vt:lpstr>
      <vt:lpstr>var educao</vt:lpstr>
      <vt:lpstr>Planilha9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Gretta Rossi Ferreira</dc:creator>
  <cp:lastModifiedBy>Gretta Rossi Ferreira</cp:lastModifiedBy>
  <dcterms:created xsi:type="dcterms:W3CDTF">2025-11-30T23:47:42Z</dcterms:created>
  <dcterms:modified xsi:type="dcterms:W3CDTF">2026-01-29T22:57:07Z</dcterms:modified>
</cp:coreProperties>
</file>