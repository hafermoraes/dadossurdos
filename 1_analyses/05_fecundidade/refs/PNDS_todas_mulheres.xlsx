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4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5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6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7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8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9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4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6.xml" ContentType="application/vnd.openxmlformats-officedocument.drawingml.chart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charts/chart29.xml" ContentType="application/vnd.openxmlformats-officedocument.drawingml.chart+xml"/>
  <Override PartName="/xl/charts/chart30.xml" ContentType="application/vnd.openxmlformats-officedocument.drawingml.chart+xml"/>
  <Override PartName="/xl/charts/chart31.xml" ContentType="application/vnd.openxmlformats-officedocument.drawingml.chart+xml"/>
  <Override PartName="/xl/charts/chart32.xml" ContentType="application/vnd.openxmlformats-officedocument.drawingml.chart+xml"/>
  <Override PartName="/xl/drawings/drawing8.xml" ContentType="application/vnd.openxmlformats-officedocument.drawing+xml"/>
  <Override PartName="/xl/charts/chart33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34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35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36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37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38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ettarossiferreira/Library/CloudStorage/GoogleDrive-g210545@dac.unicamp.br/Meu Drive/Doutorado/Tese_versao_final/PNDS/"/>
    </mc:Choice>
  </mc:AlternateContent>
  <xr:revisionPtr revIDLastSave="0" documentId="13_ncr:1_{B5A03201-5EA5-4349-8D5B-2F5BD5B9AA7D}" xr6:coauthVersionLast="47" xr6:coauthVersionMax="47" xr10:uidLastSave="{00000000-0000-0000-0000-000000000000}"/>
  <bookViews>
    <workbookView xWindow="29400" yWindow="600" windowWidth="32000" windowHeight="16080" activeTab="12" xr2:uid="{0892B592-0400-2543-8C9A-B4FFB911DCF6}"/>
  </bookViews>
  <sheets>
    <sheet name="parity" sheetId="12" r:id="rId1"/>
    <sheet name="PPR tidos" sheetId="13" r:id="rId2"/>
    <sheet name="PPR desejados" sheetId="15" r:id="rId3"/>
    <sheet name="mulheres" sheetId="1" state="hidden" r:id="rId4"/>
    <sheet name="resumo" sheetId="8" state="hidden" r:id="rId5"/>
    <sheet name="PPR Resumo" sheetId="16" r:id="rId6"/>
    <sheet name="summary" sheetId="10" r:id="rId7"/>
    <sheet name="Planilha1" sheetId="21" r:id="rId8"/>
    <sheet name="reasons_children" sheetId="11" r:id="rId9"/>
    <sheet name="achived x desired" sheetId="2" r:id="rId10"/>
    <sheet name="nascidos" sheetId="3" state="hidden" r:id="rId11"/>
    <sheet name="desejados" sheetId="7" state="hidden" r:id="rId12"/>
    <sheet name="mean of cheldren" sheetId="14" r:id="rId13"/>
    <sheet name="regression" sheetId="17" r:id="rId14"/>
    <sheet name="n_reasons_children" sheetId="19" r:id="rId15"/>
    <sheet name="n_summary" sheetId="20" r:id="rId16"/>
  </sheets>
  <externalReferences>
    <externalReference r:id="rId17"/>
  </externalReferenc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22" i="14" l="1"/>
  <c r="N142" i="14"/>
  <c r="N141" i="14"/>
  <c r="N140" i="14"/>
  <c r="N136" i="14"/>
  <c r="N135" i="14"/>
  <c r="N134" i="14"/>
  <c r="N124" i="14"/>
  <c r="N123" i="14"/>
  <c r="N129" i="14"/>
  <c r="N130" i="14"/>
  <c r="N128" i="14"/>
  <c r="G20" i="10"/>
  <c r="G19" i="10"/>
  <c r="G18" i="10"/>
  <c r="L140" i="14"/>
  <c r="M140" i="14"/>
  <c r="L141" i="14"/>
  <c r="M141" i="14"/>
  <c r="L142" i="14"/>
  <c r="M142" i="14"/>
  <c r="M136" i="14"/>
  <c r="L136" i="14"/>
  <c r="M135" i="14"/>
  <c r="L135" i="14"/>
  <c r="M134" i="14"/>
  <c r="L134" i="14"/>
  <c r="M130" i="14"/>
  <c r="L130" i="14"/>
  <c r="M129" i="14"/>
  <c r="L129" i="14"/>
  <c r="M128" i="14"/>
  <c r="L128" i="14"/>
  <c r="M122" i="14"/>
  <c r="M124" i="14"/>
  <c r="L124" i="14"/>
  <c r="M123" i="14"/>
  <c r="L123" i="14"/>
  <c r="L122" i="14"/>
  <c r="M17" i="17"/>
  <c r="F7" i="17" s="1"/>
  <c r="L17" i="17"/>
  <c r="F6" i="17" s="1"/>
  <c r="K17" i="17"/>
  <c r="F5" i="17" s="1"/>
  <c r="M16" i="17"/>
  <c r="L16" i="17"/>
  <c r="K16" i="17"/>
  <c r="L7" i="17"/>
  <c r="M7" i="17"/>
  <c r="L8" i="17"/>
  <c r="E6" i="17" s="1"/>
  <c r="M8" i="17"/>
  <c r="E7" i="17" s="1"/>
  <c r="K8" i="17"/>
  <c r="E5" i="17" s="1"/>
  <c r="K7" i="17"/>
  <c r="E31" i="16"/>
  <c r="E30" i="16"/>
  <c r="E29" i="16"/>
  <c r="E28" i="16"/>
  <c r="D31" i="16"/>
  <c r="D30" i="16"/>
  <c r="D29" i="16"/>
  <c r="D28" i="16"/>
  <c r="B31" i="16"/>
  <c r="B30" i="16"/>
  <c r="B29" i="16"/>
  <c r="B28" i="16"/>
  <c r="C28" i="16"/>
  <c r="C29" i="16"/>
  <c r="C30" i="16"/>
  <c r="C31" i="16"/>
  <c r="R67" i="13"/>
  <c r="R66" i="13"/>
  <c r="R65" i="13"/>
  <c r="R64" i="13"/>
  <c r="R50" i="13"/>
  <c r="R49" i="13"/>
  <c r="R48" i="13"/>
  <c r="R47" i="13"/>
  <c r="R33" i="13"/>
  <c r="R32" i="13"/>
  <c r="R31" i="13"/>
  <c r="R30" i="13"/>
  <c r="R14" i="13"/>
  <c r="R15" i="13"/>
  <c r="R16" i="13"/>
  <c r="R13" i="13"/>
  <c r="K71" i="13"/>
  <c r="K70" i="13"/>
  <c r="K69" i="13"/>
  <c r="K68" i="13"/>
  <c r="K53" i="13"/>
  <c r="K52" i="13"/>
  <c r="K51" i="13"/>
  <c r="K50" i="13"/>
  <c r="K35" i="13"/>
  <c r="K34" i="13"/>
  <c r="K33" i="13"/>
  <c r="K32" i="13"/>
  <c r="K15" i="13"/>
  <c r="K16" i="13"/>
  <c r="K17" i="13"/>
  <c r="K14" i="13"/>
  <c r="D84" i="13"/>
  <c r="D83" i="13"/>
  <c r="D82" i="13"/>
  <c r="D81" i="13"/>
  <c r="D63" i="13"/>
  <c r="D62" i="13"/>
  <c r="D61" i="13"/>
  <c r="D60" i="13"/>
  <c r="D42" i="13"/>
  <c r="D41" i="13"/>
  <c r="D40" i="13"/>
  <c r="D39" i="13"/>
  <c r="D19" i="13"/>
  <c r="D20" i="13"/>
  <c r="D21" i="13"/>
  <c r="D18" i="13"/>
  <c r="N104" i="14"/>
  <c r="M104" i="14"/>
  <c r="L104" i="14"/>
  <c r="N103" i="14"/>
  <c r="M103" i="14"/>
  <c r="L103" i="14"/>
  <c r="N102" i="14"/>
  <c r="M102" i="14"/>
  <c r="L102" i="14"/>
  <c r="N98" i="14"/>
  <c r="M98" i="14"/>
  <c r="L98" i="14"/>
  <c r="N97" i="14"/>
  <c r="M97" i="14"/>
  <c r="L97" i="14"/>
  <c r="N96" i="14"/>
  <c r="M96" i="14"/>
  <c r="L96" i="14"/>
  <c r="N92" i="14"/>
  <c r="M92" i="14"/>
  <c r="L92" i="14"/>
  <c r="N91" i="14"/>
  <c r="M91" i="14"/>
  <c r="L91" i="14"/>
  <c r="N90" i="14"/>
  <c r="M90" i="14"/>
  <c r="L90" i="14"/>
  <c r="N86" i="14"/>
  <c r="M86" i="14"/>
  <c r="L86" i="14"/>
  <c r="N85" i="14"/>
  <c r="M85" i="14"/>
  <c r="L85" i="14"/>
  <c r="N84" i="14"/>
  <c r="M84" i="14"/>
  <c r="L84" i="14"/>
  <c r="N69" i="14"/>
  <c r="M69" i="14"/>
  <c r="L69" i="14"/>
  <c r="N68" i="14"/>
  <c r="M68" i="14"/>
  <c r="L68" i="14"/>
  <c r="N67" i="14"/>
  <c r="M67" i="14"/>
  <c r="L67" i="14"/>
  <c r="N66" i="14"/>
  <c r="M66" i="14"/>
  <c r="L66" i="14"/>
  <c r="N62" i="14"/>
  <c r="M62" i="14"/>
  <c r="L62" i="14"/>
  <c r="N61" i="14"/>
  <c r="M61" i="14"/>
  <c r="L61" i="14"/>
  <c r="N60" i="14"/>
  <c r="M60" i="14"/>
  <c r="L60" i="14"/>
  <c r="N59" i="14"/>
  <c r="M59" i="14"/>
  <c r="L59" i="14"/>
  <c r="N55" i="14"/>
  <c r="M55" i="14"/>
  <c r="L55" i="14"/>
  <c r="N54" i="14"/>
  <c r="M54" i="14"/>
  <c r="L54" i="14"/>
  <c r="N53" i="14"/>
  <c r="M53" i="14"/>
  <c r="L53" i="14"/>
  <c r="N52" i="14"/>
  <c r="M52" i="14"/>
  <c r="L52" i="14"/>
  <c r="N48" i="14"/>
  <c r="M48" i="14"/>
  <c r="L48" i="14"/>
  <c r="N47" i="14"/>
  <c r="M47" i="14"/>
  <c r="L47" i="14"/>
  <c r="N46" i="14"/>
  <c r="M46" i="14"/>
  <c r="L46" i="14"/>
  <c r="N45" i="14"/>
  <c r="M45" i="14"/>
  <c r="L45" i="14"/>
  <c r="R24" i="12"/>
  <c r="N36" i="14" l="1"/>
  <c r="M36" i="14"/>
  <c r="N35" i="14"/>
  <c r="M35" i="14"/>
  <c r="N34" i="14"/>
  <c r="M34" i="14"/>
  <c r="N33" i="14"/>
  <c r="M33" i="14"/>
  <c r="N32" i="14"/>
  <c r="M32" i="14"/>
  <c r="N31" i="14"/>
  <c r="M31" i="14"/>
  <c r="N27" i="14"/>
  <c r="M27" i="14"/>
  <c r="N26" i="14"/>
  <c r="M26" i="14"/>
  <c r="N25" i="14"/>
  <c r="M25" i="14"/>
  <c r="N24" i="14"/>
  <c r="M24" i="14"/>
  <c r="N23" i="14"/>
  <c r="M23" i="14"/>
  <c r="N22" i="14"/>
  <c r="M22" i="14"/>
  <c r="N18" i="14"/>
  <c r="M18" i="14"/>
  <c r="N17" i="14"/>
  <c r="M17" i="14"/>
  <c r="N16" i="14"/>
  <c r="M16" i="14"/>
  <c r="N15" i="14"/>
  <c r="M15" i="14"/>
  <c r="N14" i="14"/>
  <c r="M14" i="14"/>
  <c r="N13" i="14"/>
  <c r="M13" i="14"/>
  <c r="M5" i="14"/>
  <c r="M6" i="14"/>
  <c r="M7" i="14"/>
  <c r="M8" i="14"/>
  <c r="M9" i="14"/>
  <c r="M4" i="14"/>
  <c r="L36" i="14"/>
  <c r="L35" i="14"/>
  <c r="L34" i="14"/>
  <c r="L33" i="14"/>
  <c r="L32" i="14"/>
  <c r="L31" i="14"/>
  <c r="L27" i="14"/>
  <c r="L26" i="14"/>
  <c r="L25" i="14"/>
  <c r="L24" i="14"/>
  <c r="L23" i="14"/>
  <c r="L22" i="14"/>
  <c r="L18" i="14"/>
  <c r="L17" i="14"/>
  <c r="L16" i="14"/>
  <c r="L15" i="14"/>
  <c r="L14" i="14"/>
  <c r="L13" i="14"/>
  <c r="L5" i="14"/>
  <c r="L6" i="14"/>
  <c r="L7" i="14"/>
  <c r="L8" i="14"/>
  <c r="L9" i="14"/>
  <c r="L4" i="14"/>
  <c r="N5" i="14"/>
  <c r="N6" i="14"/>
  <c r="N7" i="14"/>
  <c r="N8" i="14"/>
  <c r="N9" i="14"/>
  <c r="N4" i="14"/>
  <c r="AG5" i="12"/>
  <c r="AG6" i="12"/>
  <c r="AG7" i="12"/>
  <c r="AG8" i="12"/>
  <c r="AG9" i="12"/>
  <c r="AG10" i="12"/>
  <c r="AG11" i="12"/>
  <c r="AG12" i="12"/>
  <c r="AG13" i="12"/>
  <c r="AG14" i="12"/>
  <c r="AG25" i="12"/>
  <c r="H25" i="12"/>
  <c r="I5" i="12"/>
  <c r="AG24" i="12" l="1"/>
  <c r="AQ15" i="12"/>
  <c r="AQ14" i="12"/>
  <c r="AQ10" i="12"/>
  <c r="AQ8" i="12"/>
  <c r="AQ7" i="12"/>
  <c r="AQ12" i="12"/>
  <c r="AQ13" i="12"/>
  <c r="AQ11" i="12"/>
  <c r="AQ9" i="12"/>
  <c r="AQ6" i="12"/>
  <c r="AT23" i="12" s="1"/>
  <c r="AI7" i="12"/>
  <c r="AI8" i="12"/>
  <c r="AI9" i="12"/>
  <c r="AI10" i="12"/>
  <c r="AI11" i="12"/>
  <c r="AI12" i="12"/>
  <c r="AI13" i="12"/>
  <c r="AI14" i="12"/>
  <c r="AI15" i="12"/>
  <c r="Z24" i="12"/>
  <c r="AJ11" i="12" s="1"/>
  <c r="AA25" i="12"/>
  <c r="AB25" i="12"/>
  <c r="AC25" i="12"/>
  <c r="AD25" i="12"/>
  <c r="AE25" i="12"/>
  <c r="AF25" i="12"/>
  <c r="Z25" i="12"/>
  <c r="AF24" i="12"/>
  <c r="AP7" i="12" s="1"/>
  <c r="AE24" i="12"/>
  <c r="AO15" i="12" s="1"/>
  <c r="AD24" i="12"/>
  <c r="AN14" i="12" s="1"/>
  <c r="AC24" i="12"/>
  <c r="AM12" i="12" s="1"/>
  <c r="AB24" i="12"/>
  <c r="AA24" i="12"/>
  <c r="AK10" i="12" s="1"/>
  <c r="AL15" i="12"/>
  <c r="AJ15" i="12"/>
  <c r="AP14" i="12"/>
  <c r="AP10" i="12"/>
  <c r="AP9" i="12"/>
  <c r="AI6" i="12"/>
  <c r="B24" i="12"/>
  <c r="L15" i="12" s="1"/>
  <c r="G25" i="12"/>
  <c r="F25" i="12"/>
  <c r="E25" i="12"/>
  <c r="D25" i="12"/>
  <c r="C25" i="12"/>
  <c r="B25" i="12"/>
  <c r="H24" i="12"/>
  <c r="R14" i="12" s="1"/>
  <c r="G24" i="12"/>
  <c r="Q14" i="12" s="1"/>
  <c r="F24" i="12"/>
  <c r="P14" i="12" s="1"/>
  <c r="E24" i="12"/>
  <c r="O14" i="12" s="1"/>
  <c r="D24" i="12"/>
  <c r="N14" i="12" s="1"/>
  <c r="C24" i="12"/>
  <c r="M14" i="12" s="1"/>
  <c r="K15" i="12"/>
  <c r="K14" i="12"/>
  <c r="I14" i="12"/>
  <c r="K13" i="12"/>
  <c r="I13" i="12"/>
  <c r="K12" i="12"/>
  <c r="I12" i="12"/>
  <c r="K11" i="12"/>
  <c r="I11" i="12"/>
  <c r="K10" i="12"/>
  <c r="I10" i="12"/>
  <c r="K9" i="12"/>
  <c r="I9" i="12"/>
  <c r="K8" i="12"/>
  <c r="I8" i="12"/>
  <c r="K7" i="12"/>
  <c r="I7" i="12"/>
  <c r="K6" i="12"/>
  <c r="I6" i="12"/>
  <c r="K29" i="8"/>
  <c r="K31" i="8" s="1"/>
  <c r="H30" i="8"/>
  <c r="I30" i="8"/>
  <c r="J30" i="8"/>
  <c r="K30" i="8"/>
  <c r="H31" i="8"/>
  <c r="I31" i="8"/>
  <c r="J31" i="8"/>
  <c r="H32" i="8"/>
  <c r="I32" i="8"/>
  <c r="J32" i="8"/>
  <c r="K32" i="8"/>
  <c r="P22" i="8"/>
  <c r="Q22" i="8"/>
  <c r="R22" i="8"/>
  <c r="S22" i="8"/>
  <c r="T22" i="8"/>
  <c r="O22" i="8"/>
  <c r="T23" i="8"/>
  <c r="D30" i="8"/>
  <c r="E30" i="8"/>
  <c r="F30" i="8"/>
  <c r="G30" i="8"/>
  <c r="D32" i="8"/>
  <c r="E32" i="8"/>
  <c r="F32" i="8"/>
  <c r="G32" i="8"/>
  <c r="C32" i="8"/>
  <c r="C30" i="8"/>
  <c r="D31" i="8"/>
  <c r="E31" i="8"/>
  <c r="F31" i="8"/>
  <c r="G31" i="8"/>
  <c r="C31" i="8"/>
  <c r="D6" i="8"/>
  <c r="D7" i="8"/>
  <c r="D9" i="8"/>
  <c r="D10" i="8"/>
  <c r="D11" i="8"/>
  <c r="D12" i="8"/>
  <c r="D13" i="8"/>
  <c r="D15" i="8"/>
  <c r="D16" i="8"/>
  <c r="D17" i="8"/>
  <c r="D19" i="8"/>
  <c r="D20" i="8"/>
  <c r="D21" i="8"/>
  <c r="D4" i="8"/>
  <c r="F6" i="8"/>
  <c r="F7" i="8"/>
  <c r="F9" i="8"/>
  <c r="F10" i="8"/>
  <c r="F11" i="8"/>
  <c r="F12" i="8"/>
  <c r="F13" i="8"/>
  <c r="F15" i="8"/>
  <c r="F16" i="8"/>
  <c r="F17" i="8"/>
  <c r="F19" i="8"/>
  <c r="F20" i="8"/>
  <c r="F21" i="8"/>
  <c r="F4" i="8"/>
  <c r="P23" i="8"/>
  <c r="Q23" i="8"/>
  <c r="R23" i="8"/>
  <c r="R25" i="8" s="1"/>
  <c r="S23" i="8"/>
  <c r="S25" i="8" s="1"/>
  <c r="C19" i="8"/>
  <c r="E16" i="8"/>
  <c r="E17" i="8"/>
  <c r="C6" i="8"/>
  <c r="C4" i="8"/>
  <c r="I323" i="7"/>
  <c r="H323" i="7"/>
  <c r="G323" i="7"/>
  <c r="F323" i="7"/>
  <c r="E323" i="7"/>
  <c r="D323" i="7"/>
  <c r="C323" i="7"/>
  <c r="J322" i="7"/>
  <c r="J321" i="7"/>
  <c r="J320" i="7"/>
  <c r="J319" i="7"/>
  <c r="J318" i="7"/>
  <c r="J317" i="7"/>
  <c r="J316" i="7"/>
  <c r="J315" i="7"/>
  <c r="J314" i="7"/>
  <c r="J313" i="7"/>
  <c r="J312" i="7"/>
  <c r="J311" i="7"/>
  <c r="J310" i="7"/>
  <c r="J309" i="7"/>
  <c r="J308" i="7"/>
  <c r="J307" i="7"/>
  <c r="J306" i="7"/>
  <c r="I301" i="7"/>
  <c r="H301" i="7"/>
  <c r="G301" i="7"/>
  <c r="F301" i="7"/>
  <c r="E301" i="7"/>
  <c r="D301" i="7"/>
  <c r="C301" i="7"/>
  <c r="J300" i="7"/>
  <c r="J299" i="7"/>
  <c r="J298" i="7"/>
  <c r="J297" i="7"/>
  <c r="J296" i="7"/>
  <c r="J295" i="7"/>
  <c r="J294" i="7"/>
  <c r="J293" i="7"/>
  <c r="J292" i="7"/>
  <c r="J291" i="7"/>
  <c r="J290" i="7"/>
  <c r="J289" i="7"/>
  <c r="J288" i="7"/>
  <c r="J287" i="7"/>
  <c r="J286" i="7"/>
  <c r="J285" i="7"/>
  <c r="J284" i="7"/>
  <c r="I279" i="7"/>
  <c r="H279" i="7"/>
  <c r="G279" i="7"/>
  <c r="F279" i="7"/>
  <c r="E279" i="7"/>
  <c r="D279" i="7"/>
  <c r="C279" i="7"/>
  <c r="J278" i="7"/>
  <c r="J277" i="7"/>
  <c r="J276" i="7"/>
  <c r="J275" i="7"/>
  <c r="J274" i="7"/>
  <c r="J273" i="7"/>
  <c r="J272" i="7"/>
  <c r="J271" i="7"/>
  <c r="J270" i="7"/>
  <c r="J269" i="7"/>
  <c r="J268" i="7"/>
  <c r="J267" i="7"/>
  <c r="J266" i="7"/>
  <c r="J265" i="7"/>
  <c r="J264" i="7"/>
  <c r="J263" i="7"/>
  <c r="J262" i="7"/>
  <c r="I254" i="7"/>
  <c r="H254" i="7"/>
  <c r="G254" i="7"/>
  <c r="F254" i="7"/>
  <c r="E254" i="7"/>
  <c r="D254" i="7"/>
  <c r="C254" i="7"/>
  <c r="J253" i="7"/>
  <c r="J252" i="7"/>
  <c r="J251" i="7"/>
  <c r="J250" i="7"/>
  <c r="J249" i="7"/>
  <c r="J248" i="7"/>
  <c r="J247" i="7"/>
  <c r="J246" i="7"/>
  <c r="J245" i="7"/>
  <c r="J244" i="7"/>
  <c r="J243" i="7"/>
  <c r="J242" i="7"/>
  <c r="J241" i="7"/>
  <c r="J240" i="7"/>
  <c r="J239" i="7"/>
  <c r="J238" i="7"/>
  <c r="J237" i="7"/>
  <c r="I232" i="7"/>
  <c r="H232" i="7"/>
  <c r="G232" i="7"/>
  <c r="F232" i="7"/>
  <c r="E232" i="7"/>
  <c r="D232" i="7"/>
  <c r="C232" i="7"/>
  <c r="J231" i="7"/>
  <c r="J230" i="7"/>
  <c r="J229" i="7"/>
  <c r="J228" i="7"/>
  <c r="J227" i="7"/>
  <c r="J226" i="7"/>
  <c r="J225" i="7"/>
  <c r="J224" i="7"/>
  <c r="J223" i="7"/>
  <c r="J222" i="7"/>
  <c r="J221" i="7"/>
  <c r="J220" i="7"/>
  <c r="J219" i="7"/>
  <c r="J218" i="7"/>
  <c r="J217" i="7"/>
  <c r="J216" i="7"/>
  <c r="J215" i="7"/>
  <c r="I210" i="7"/>
  <c r="H210" i="7"/>
  <c r="G210" i="7"/>
  <c r="F210" i="7"/>
  <c r="E210" i="7"/>
  <c r="D210" i="7"/>
  <c r="C210" i="7"/>
  <c r="J209" i="7"/>
  <c r="J208" i="7"/>
  <c r="J207" i="7"/>
  <c r="J206" i="7"/>
  <c r="J205" i="7"/>
  <c r="J204" i="7"/>
  <c r="J203" i="7"/>
  <c r="J202" i="7"/>
  <c r="J201" i="7"/>
  <c r="J200" i="7"/>
  <c r="J199" i="7"/>
  <c r="J198" i="7"/>
  <c r="J197" i="7"/>
  <c r="J196" i="7"/>
  <c r="J195" i="7"/>
  <c r="J194" i="7"/>
  <c r="J193" i="7"/>
  <c r="I185" i="7"/>
  <c r="H185" i="7"/>
  <c r="G185" i="7"/>
  <c r="F185" i="7"/>
  <c r="E185" i="7"/>
  <c r="D185" i="7"/>
  <c r="C185" i="7"/>
  <c r="J184" i="7"/>
  <c r="J183" i="7"/>
  <c r="J182" i="7"/>
  <c r="J181" i="7"/>
  <c r="J180" i="7"/>
  <c r="J179" i="7"/>
  <c r="J178" i="7"/>
  <c r="J177" i="7"/>
  <c r="J176" i="7"/>
  <c r="J175" i="7"/>
  <c r="J174" i="7"/>
  <c r="J173" i="7"/>
  <c r="J172" i="7"/>
  <c r="J171" i="7"/>
  <c r="J170" i="7"/>
  <c r="J169" i="7"/>
  <c r="J168" i="7"/>
  <c r="I163" i="7"/>
  <c r="H163" i="7"/>
  <c r="G163" i="7"/>
  <c r="F163" i="7"/>
  <c r="E163" i="7"/>
  <c r="D163" i="7"/>
  <c r="C163" i="7"/>
  <c r="J162" i="7"/>
  <c r="J161" i="7"/>
  <c r="J160" i="7"/>
  <c r="J159" i="7"/>
  <c r="J158" i="7"/>
  <c r="J157" i="7"/>
  <c r="J156" i="7"/>
  <c r="J155" i="7"/>
  <c r="J154" i="7"/>
  <c r="J153" i="7"/>
  <c r="J152" i="7"/>
  <c r="J151" i="7"/>
  <c r="J150" i="7"/>
  <c r="J149" i="7"/>
  <c r="J148" i="7"/>
  <c r="J147" i="7"/>
  <c r="J146" i="7"/>
  <c r="I141" i="7"/>
  <c r="H141" i="7"/>
  <c r="G141" i="7"/>
  <c r="F141" i="7"/>
  <c r="E141" i="7"/>
  <c r="D141" i="7"/>
  <c r="C141" i="7"/>
  <c r="J140" i="7"/>
  <c r="J139" i="7"/>
  <c r="J138" i="7"/>
  <c r="J137" i="7"/>
  <c r="J136" i="7"/>
  <c r="J135" i="7"/>
  <c r="J134" i="7"/>
  <c r="J133" i="7"/>
  <c r="J132" i="7"/>
  <c r="J131" i="7"/>
  <c r="J130" i="7"/>
  <c r="J129" i="7"/>
  <c r="J128" i="7"/>
  <c r="J127" i="7"/>
  <c r="J126" i="7"/>
  <c r="J125" i="7"/>
  <c r="J124" i="7"/>
  <c r="I119" i="7"/>
  <c r="H119" i="7"/>
  <c r="G119" i="7"/>
  <c r="F119" i="7"/>
  <c r="E119" i="7"/>
  <c r="D119" i="7"/>
  <c r="C119" i="7"/>
  <c r="J118" i="7"/>
  <c r="J117" i="7"/>
  <c r="J116" i="7"/>
  <c r="J115" i="7"/>
  <c r="J114" i="7"/>
  <c r="J113" i="7"/>
  <c r="J112" i="7"/>
  <c r="J111" i="7"/>
  <c r="J110" i="7"/>
  <c r="J109" i="7"/>
  <c r="J108" i="7"/>
  <c r="J107" i="7"/>
  <c r="J106" i="7"/>
  <c r="J105" i="7"/>
  <c r="J104" i="7"/>
  <c r="J103" i="7"/>
  <c r="J102" i="7"/>
  <c r="I97" i="7"/>
  <c r="H97" i="7"/>
  <c r="G97" i="7"/>
  <c r="F97" i="7"/>
  <c r="E97" i="7"/>
  <c r="D97" i="7"/>
  <c r="C97" i="7"/>
  <c r="J96" i="7"/>
  <c r="J95" i="7"/>
  <c r="J94" i="7"/>
  <c r="J93" i="7"/>
  <c r="J92" i="7"/>
  <c r="J91" i="7"/>
  <c r="J90" i="7"/>
  <c r="J89" i="7"/>
  <c r="J88" i="7"/>
  <c r="J87" i="7"/>
  <c r="J86" i="7"/>
  <c r="J85" i="7"/>
  <c r="J84" i="7"/>
  <c r="J83" i="7"/>
  <c r="J82" i="7"/>
  <c r="J81" i="7"/>
  <c r="J80" i="7"/>
  <c r="I72" i="7"/>
  <c r="H72" i="7"/>
  <c r="G72" i="7"/>
  <c r="F72" i="7"/>
  <c r="E72" i="7"/>
  <c r="D72" i="7"/>
  <c r="C72" i="7"/>
  <c r="J71" i="7"/>
  <c r="J70" i="7"/>
  <c r="J69" i="7"/>
  <c r="J68" i="7"/>
  <c r="J67" i="7"/>
  <c r="J66" i="7"/>
  <c r="J65" i="7"/>
  <c r="J64" i="7"/>
  <c r="J63" i="7"/>
  <c r="J62" i="7"/>
  <c r="J61" i="7"/>
  <c r="J60" i="7"/>
  <c r="J59" i="7"/>
  <c r="J58" i="7"/>
  <c r="J57" i="7"/>
  <c r="J56" i="7"/>
  <c r="J55" i="7"/>
  <c r="I49" i="7"/>
  <c r="H49" i="7"/>
  <c r="G49" i="7"/>
  <c r="F49" i="7"/>
  <c r="E49" i="7"/>
  <c r="D49" i="7"/>
  <c r="C49" i="7"/>
  <c r="J48" i="7"/>
  <c r="J47" i="7"/>
  <c r="J46" i="7"/>
  <c r="J45" i="7"/>
  <c r="J44" i="7"/>
  <c r="J43" i="7"/>
  <c r="J42" i="7"/>
  <c r="J41" i="7"/>
  <c r="J40" i="7"/>
  <c r="J39" i="7"/>
  <c r="J38" i="7"/>
  <c r="J37" i="7"/>
  <c r="J36" i="7"/>
  <c r="J35" i="7"/>
  <c r="J34" i="7"/>
  <c r="J33" i="7"/>
  <c r="J32" i="7"/>
  <c r="I22" i="7"/>
  <c r="I23" i="7" s="1"/>
  <c r="H22" i="7"/>
  <c r="H23" i="7" s="1"/>
  <c r="G22" i="7"/>
  <c r="G23" i="7" s="1"/>
  <c r="F22" i="7"/>
  <c r="F23" i="7" s="1"/>
  <c r="E22" i="7"/>
  <c r="E23" i="7" s="1"/>
  <c r="D22" i="7"/>
  <c r="D23" i="7" s="1"/>
  <c r="O23" i="8" s="1"/>
  <c r="C22" i="7"/>
  <c r="C23" i="7" s="1"/>
  <c r="J21" i="7"/>
  <c r="J20" i="7"/>
  <c r="J19" i="7"/>
  <c r="J18" i="7"/>
  <c r="J17" i="7"/>
  <c r="J16" i="7"/>
  <c r="J15" i="7"/>
  <c r="J14" i="7"/>
  <c r="J13" i="7"/>
  <c r="J12" i="7"/>
  <c r="J11" i="7"/>
  <c r="J10" i="7"/>
  <c r="J9" i="7"/>
  <c r="J8" i="7"/>
  <c r="J7" i="7"/>
  <c r="J6" i="7"/>
  <c r="J5" i="7"/>
  <c r="E23" i="3"/>
  <c r="Q24" i="8" s="1"/>
  <c r="F23" i="3"/>
  <c r="R24" i="8" s="1"/>
  <c r="G23" i="3"/>
  <c r="S24" i="8" s="1"/>
  <c r="H23" i="3"/>
  <c r="T24" i="8" s="1"/>
  <c r="T25" i="8" s="1"/>
  <c r="I23" i="3"/>
  <c r="J322" i="3"/>
  <c r="J321" i="3"/>
  <c r="J320" i="3"/>
  <c r="J319" i="3"/>
  <c r="J318" i="3"/>
  <c r="J317" i="3"/>
  <c r="J316" i="3"/>
  <c r="J315" i="3"/>
  <c r="J314" i="3"/>
  <c r="J313" i="3"/>
  <c r="J312" i="3"/>
  <c r="J311" i="3"/>
  <c r="J310" i="3"/>
  <c r="J309" i="3"/>
  <c r="J308" i="3"/>
  <c r="J307" i="3"/>
  <c r="J306" i="3"/>
  <c r="D323" i="3"/>
  <c r="E323" i="3"/>
  <c r="F323" i="3"/>
  <c r="G323" i="3"/>
  <c r="H323" i="3"/>
  <c r="I323" i="3"/>
  <c r="C323" i="3"/>
  <c r="J300" i="3"/>
  <c r="J299" i="3"/>
  <c r="J298" i="3"/>
  <c r="J297" i="3"/>
  <c r="J296" i="3"/>
  <c r="J295" i="3"/>
  <c r="J294" i="3"/>
  <c r="J293" i="3"/>
  <c r="J292" i="3"/>
  <c r="J291" i="3"/>
  <c r="J290" i="3"/>
  <c r="J289" i="3"/>
  <c r="J288" i="3"/>
  <c r="J287" i="3"/>
  <c r="J286" i="3"/>
  <c r="J285" i="3"/>
  <c r="J284" i="3"/>
  <c r="D301" i="3"/>
  <c r="E301" i="3"/>
  <c r="F301" i="3"/>
  <c r="G301" i="3"/>
  <c r="H301" i="3"/>
  <c r="I301" i="3"/>
  <c r="C301" i="3"/>
  <c r="J278" i="3"/>
  <c r="J277" i="3"/>
  <c r="J276" i="3"/>
  <c r="J275" i="3"/>
  <c r="J274" i="3"/>
  <c r="J273" i="3"/>
  <c r="J272" i="3"/>
  <c r="J271" i="3"/>
  <c r="J270" i="3"/>
  <c r="J269" i="3"/>
  <c r="J268" i="3"/>
  <c r="J267" i="3"/>
  <c r="J266" i="3"/>
  <c r="J265" i="3"/>
  <c r="J264" i="3"/>
  <c r="J263" i="3"/>
  <c r="J262" i="3"/>
  <c r="D279" i="3"/>
  <c r="E279" i="3"/>
  <c r="F279" i="3"/>
  <c r="G279" i="3"/>
  <c r="H279" i="3"/>
  <c r="I279" i="3"/>
  <c r="C279" i="3"/>
  <c r="J253" i="3"/>
  <c r="J252" i="3"/>
  <c r="J251" i="3"/>
  <c r="J250" i="3"/>
  <c r="J249" i="3"/>
  <c r="J248" i="3"/>
  <c r="J247" i="3"/>
  <c r="J246" i="3"/>
  <c r="J245" i="3"/>
  <c r="J244" i="3"/>
  <c r="J243" i="3"/>
  <c r="J242" i="3"/>
  <c r="J241" i="3"/>
  <c r="J240" i="3"/>
  <c r="J239" i="3"/>
  <c r="J238" i="3"/>
  <c r="J237" i="3"/>
  <c r="D254" i="3"/>
  <c r="E254" i="3"/>
  <c r="F254" i="3"/>
  <c r="G254" i="3"/>
  <c r="H254" i="3"/>
  <c r="I254" i="3"/>
  <c r="C254" i="3"/>
  <c r="D232" i="3"/>
  <c r="E232" i="3"/>
  <c r="F232" i="3"/>
  <c r="G232" i="3"/>
  <c r="H232" i="3"/>
  <c r="I232" i="3"/>
  <c r="C232" i="3"/>
  <c r="J231" i="3"/>
  <c r="J230" i="3"/>
  <c r="J229" i="3"/>
  <c r="J228" i="3"/>
  <c r="J227" i="3"/>
  <c r="J226" i="3"/>
  <c r="J225" i="3"/>
  <c r="J224" i="3"/>
  <c r="J223" i="3"/>
  <c r="J222" i="3"/>
  <c r="J221" i="3"/>
  <c r="J220" i="3"/>
  <c r="J219" i="3"/>
  <c r="J218" i="3"/>
  <c r="J217" i="3"/>
  <c r="J216" i="3"/>
  <c r="J215" i="3"/>
  <c r="J209" i="3"/>
  <c r="J208" i="3"/>
  <c r="J207" i="3"/>
  <c r="J206" i="3"/>
  <c r="J205" i="3"/>
  <c r="J204" i="3"/>
  <c r="J203" i="3"/>
  <c r="J202" i="3"/>
  <c r="J201" i="3"/>
  <c r="J200" i="3"/>
  <c r="J199" i="3"/>
  <c r="J198" i="3"/>
  <c r="J197" i="3"/>
  <c r="J196" i="3"/>
  <c r="J195" i="3"/>
  <c r="J194" i="3"/>
  <c r="J193" i="3"/>
  <c r="D210" i="3"/>
  <c r="E210" i="3"/>
  <c r="F210" i="3"/>
  <c r="G210" i="3"/>
  <c r="H210" i="3"/>
  <c r="I210" i="3"/>
  <c r="C210" i="3"/>
  <c r="J184" i="3"/>
  <c r="J183" i="3"/>
  <c r="J182" i="3"/>
  <c r="J181" i="3"/>
  <c r="J180" i="3"/>
  <c r="J179" i="3"/>
  <c r="J178" i="3"/>
  <c r="J177" i="3"/>
  <c r="J176" i="3"/>
  <c r="J175" i="3"/>
  <c r="J174" i="3"/>
  <c r="J173" i="3"/>
  <c r="J172" i="3"/>
  <c r="J171" i="3"/>
  <c r="J170" i="3"/>
  <c r="J169" i="3"/>
  <c r="J168" i="3"/>
  <c r="D185" i="3"/>
  <c r="E185" i="3"/>
  <c r="F185" i="3"/>
  <c r="G185" i="3"/>
  <c r="H185" i="3"/>
  <c r="I185" i="3"/>
  <c r="C185" i="3"/>
  <c r="D163" i="3"/>
  <c r="E163" i="3"/>
  <c r="F163" i="3"/>
  <c r="G163" i="3"/>
  <c r="H163" i="3"/>
  <c r="I163" i="3"/>
  <c r="C163" i="3"/>
  <c r="J162" i="3"/>
  <c r="J161" i="3"/>
  <c r="J160" i="3"/>
  <c r="J159" i="3"/>
  <c r="J158" i="3"/>
  <c r="J157" i="3"/>
  <c r="J156" i="3"/>
  <c r="J155" i="3"/>
  <c r="J154" i="3"/>
  <c r="J153" i="3"/>
  <c r="J152" i="3"/>
  <c r="J151" i="3"/>
  <c r="J150" i="3"/>
  <c r="J149" i="3"/>
  <c r="J148" i="3"/>
  <c r="J147" i="3"/>
  <c r="J146" i="3"/>
  <c r="J140" i="3"/>
  <c r="J139" i="3"/>
  <c r="J138" i="3"/>
  <c r="J137" i="3"/>
  <c r="J136" i="3"/>
  <c r="J135" i="3"/>
  <c r="J134" i="3"/>
  <c r="J133" i="3"/>
  <c r="J132" i="3"/>
  <c r="J131" i="3"/>
  <c r="J130" i="3"/>
  <c r="J129" i="3"/>
  <c r="J128" i="3"/>
  <c r="J127" i="3"/>
  <c r="J126" i="3"/>
  <c r="J125" i="3"/>
  <c r="J124" i="3"/>
  <c r="D141" i="3"/>
  <c r="E141" i="3"/>
  <c r="F141" i="3"/>
  <c r="G141" i="3"/>
  <c r="H141" i="3"/>
  <c r="I141" i="3"/>
  <c r="C141" i="3"/>
  <c r="D119" i="3"/>
  <c r="E119" i="3"/>
  <c r="F119" i="3"/>
  <c r="G119" i="3"/>
  <c r="H119" i="3"/>
  <c r="I119" i="3"/>
  <c r="C119" i="3"/>
  <c r="J118" i="3"/>
  <c r="J117" i="3"/>
  <c r="J116" i="3"/>
  <c r="J115" i="3"/>
  <c r="J114" i="3"/>
  <c r="J113" i="3"/>
  <c r="J112" i="3"/>
  <c r="J111" i="3"/>
  <c r="J110" i="3"/>
  <c r="J109" i="3"/>
  <c r="J108" i="3"/>
  <c r="J107" i="3"/>
  <c r="J106" i="3"/>
  <c r="J105" i="3"/>
  <c r="J104" i="3"/>
  <c r="J103" i="3"/>
  <c r="J102" i="3"/>
  <c r="D97" i="3"/>
  <c r="E97" i="3"/>
  <c r="F97" i="3"/>
  <c r="G97" i="3"/>
  <c r="H97" i="3"/>
  <c r="I97" i="3"/>
  <c r="C97" i="3"/>
  <c r="J96" i="3"/>
  <c r="J95" i="3"/>
  <c r="J94" i="3"/>
  <c r="J93" i="3"/>
  <c r="J92" i="3"/>
  <c r="J91" i="3"/>
  <c r="J90" i="3"/>
  <c r="J89" i="3"/>
  <c r="J88" i="3"/>
  <c r="J87" i="3"/>
  <c r="J86" i="3"/>
  <c r="J85" i="3"/>
  <c r="J84" i="3"/>
  <c r="J83" i="3"/>
  <c r="J82" i="3"/>
  <c r="J81" i="3"/>
  <c r="J80" i="3"/>
  <c r="D72" i="3"/>
  <c r="E72" i="3"/>
  <c r="F72" i="3"/>
  <c r="G72" i="3"/>
  <c r="H72" i="3"/>
  <c r="I72" i="3"/>
  <c r="C72" i="3"/>
  <c r="J71" i="3"/>
  <c r="J70" i="3"/>
  <c r="J69" i="3"/>
  <c r="J68" i="3"/>
  <c r="J67" i="3"/>
  <c r="J66" i="3"/>
  <c r="J65" i="3"/>
  <c r="J64" i="3"/>
  <c r="J63" i="3"/>
  <c r="J62" i="3"/>
  <c r="J61" i="3"/>
  <c r="J60" i="3"/>
  <c r="J59" i="3"/>
  <c r="J58" i="3"/>
  <c r="J57" i="3"/>
  <c r="J56" i="3"/>
  <c r="J55" i="3"/>
  <c r="D49" i="3"/>
  <c r="E49" i="3"/>
  <c r="F49" i="3"/>
  <c r="G49" i="3"/>
  <c r="H49" i="3"/>
  <c r="I49" i="3"/>
  <c r="C49" i="3"/>
  <c r="J48" i="3"/>
  <c r="J47" i="3"/>
  <c r="J46" i="3"/>
  <c r="J45" i="3"/>
  <c r="J44" i="3"/>
  <c r="J43" i="3"/>
  <c r="J42" i="3"/>
  <c r="J41" i="3"/>
  <c r="J40" i="3"/>
  <c r="J39" i="3"/>
  <c r="J38" i="3"/>
  <c r="J37" i="3"/>
  <c r="J36" i="3"/>
  <c r="J35" i="3"/>
  <c r="J34" i="3"/>
  <c r="J33" i="3"/>
  <c r="J32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5" i="3"/>
  <c r="D22" i="3"/>
  <c r="D23" i="3" s="1"/>
  <c r="P24" i="8" s="1"/>
  <c r="E22" i="3"/>
  <c r="F22" i="3"/>
  <c r="G22" i="3"/>
  <c r="H22" i="3"/>
  <c r="I22" i="3"/>
  <c r="C22" i="3"/>
  <c r="C23" i="3" s="1"/>
  <c r="O24" i="8" s="1"/>
  <c r="J40" i="1"/>
  <c r="K40" i="1" s="1"/>
  <c r="E21" i="8" s="1"/>
  <c r="J39" i="1"/>
  <c r="K39" i="1" s="1"/>
  <c r="E20" i="8" s="1"/>
  <c r="J38" i="1"/>
  <c r="J33" i="1"/>
  <c r="K33" i="1" s="1"/>
  <c r="J32" i="1"/>
  <c r="K32" i="1" s="1"/>
  <c r="J31" i="1"/>
  <c r="J26" i="1"/>
  <c r="K26" i="1" s="1"/>
  <c r="E13" i="8" s="1"/>
  <c r="J25" i="1"/>
  <c r="K25" i="1" s="1"/>
  <c r="E12" i="8" s="1"/>
  <c r="J24" i="1"/>
  <c r="K24" i="1" s="1"/>
  <c r="E11" i="8" s="1"/>
  <c r="J23" i="1"/>
  <c r="K23" i="1" s="1"/>
  <c r="E10" i="8" s="1"/>
  <c r="J22" i="1"/>
  <c r="K16" i="1"/>
  <c r="E7" i="8" s="1"/>
  <c r="K15" i="1"/>
  <c r="E6" i="8" s="1"/>
  <c r="I9" i="1"/>
  <c r="J15" i="1"/>
  <c r="J16" i="1"/>
  <c r="C7" i="8" s="1"/>
  <c r="J163" i="7" l="1"/>
  <c r="C13" i="8"/>
  <c r="C17" i="8"/>
  <c r="AQ19" i="12"/>
  <c r="K22" i="1"/>
  <c r="E9" i="8" s="1"/>
  <c r="K38" i="1"/>
  <c r="E19" i="8" s="1"/>
  <c r="C12" i="8"/>
  <c r="C16" i="8"/>
  <c r="C11" i="8"/>
  <c r="Q25" i="8"/>
  <c r="P25" i="8"/>
  <c r="J119" i="7"/>
  <c r="C20" i="8"/>
  <c r="C10" i="8"/>
  <c r="C21" i="8"/>
  <c r="K31" i="1"/>
  <c r="E15" i="8" s="1"/>
  <c r="I25" i="12"/>
  <c r="C9" i="8"/>
  <c r="C15" i="8"/>
  <c r="AJ7" i="12"/>
  <c r="AJ23" i="12" s="1"/>
  <c r="AK15" i="12"/>
  <c r="AP26" i="12"/>
  <c r="Q15" i="12"/>
  <c r="Q31" i="12" s="1"/>
  <c r="L14" i="12"/>
  <c r="AP12" i="12"/>
  <c r="AP11" i="12"/>
  <c r="AP27" i="12" s="1"/>
  <c r="AP6" i="12"/>
  <c r="AS23" i="12" s="1"/>
  <c r="AP15" i="12"/>
  <c r="AP8" i="12"/>
  <c r="AP24" i="12" s="1"/>
  <c r="AP13" i="12"/>
  <c r="AL13" i="12"/>
  <c r="AL7" i="12"/>
  <c r="AK6" i="12"/>
  <c r="AM8" i="12"/>
  <c r="AM11" i="12"/>
  <c r="AM27" i="12" s="1"/>
  <c r="AM14" i="12"/>
  <c r="AN10" i="12"/>
  <c r="N15" i="12"/>
  <c r="AJ6" i="12"/>
  <c r="AJ9" i="12"/>
  <c r="AJ12" i="12"/>
  <c r="AJ13" i="12"/>
  <c r="AK7" i="12"/>
  <c r="AK23" i="12" s="1"/>
  <c r="AK8" i="12"/>
  <c r="AK24" i="12" s="1"/>
  <c r="AK11" i="12"/>
  <c r="AK14" i="12"/>
  <c r="AL8" i="12"/>
  <c r="AL11" i="12"/>
  <c r="AL14" i="12"/>
  <c r="AM7" i="12"/>
  <c r="AM10" i="12"/>
  <c r="AM13" i="12"/>
  <c r="AN15" i="12"/>
  <c r="AO6" i="12"/>
  <c r="AO7" i="12"/>
  <c r="AO23" i="12" s="1"/>
  <c r="AO8" i="12"/>
  <c r="AO9" i="12"/>
  <c r="AO10" i="12"/>
  <c r="AO11" i="12"/>
  <c r="AO12" i="12"/>
  <c r="AO28" i="12" s="1"/>
  <c r="AO13" i="12"/>
  <c r="AO14" i="12"/>
  <c r="AJ10" i="12"/>
  <c r="AJ14" i="12"/>
  <c r="AK9" i="12"/>
  <c r="AK25" i="12" s="1"/>
  <c r="AK12" i="12"/>
  <c r="AK13" i="12"/>
  <c r="AL10" i="12"/>
  <c r="AL12" i="12"/>
  <c r="AM15" i="12"/>
  <c r="AM6" i="12"/>
  <c r="AM9" i="12"/>
  <c r="AN7" i="12"/>
  <c r="AN23" i="12" s="1"/>
  <c r="AN11" i="12"/>
  <c r="I24" i="12"/>
  <c r="S10" i="12" s="1"/>
  <c r="AJ8" i="12"/>
  <c r="AL6" i="12"/>
  <c r="AL9" i="12"/>
  <c r="AN6" i="12"/>
  <c r="AN8" i="12"/>
  <c r="AN9" i="12"/>
  <c r="AN12" i="12"/>
  <c r="AN13" i="12"/>
  <c r="M15" i="12"/>
  <c r="N6" i="12"/>
  <c r="N7" i="12"/>
  <c r="N23" i="12" s="1"/>
  <c r="N8" i="12"/>
  <c r="N9" i="12"/>
  <c r="N10" i="12"/>
  <c r="N11" i="12"/>
  <c r="N12" i="12"/>
  <c r="N13" i="12"/>
  <c r="O15" i="12"/>
  <c r="O6" i="12"/>
  <c r="O7" i="12"/>
  <c r="O8" i="12"/>
  <c r="O24" i="12" s="1"/>
  <c r="O9" i="12"/>
  <c r="O10" i="12"/>
  <c r="O11" i="12"/>
  <c r="O12" i="12"/>
  <c r="O13" i="12"/>
  <c r="P15" i="12"/>
  <c r="P6" i="12"/>
  <c r="P7" i="12"/>
  <c r="P8" i="12"/>
  <c r="P9" i="12"/>
  <c r="P10" i="12"/>
  <c r="P11" i="12"/>
  <c r="P12" i="12"/>
  <c r="P13" i="12"/>
  <c r="Q6" i="12"/>
  <c r="Q7" i="12"/>
  <c r="Q8" i="12"/>
  <c r="Q9" i="12"/>
  <c r="Q10" i="12"/>
  <c r="Q11" i="12"/>
  <c r="Q12" i="12"/>
  <c r="Q13" i="12"/>
  <c r="R15" i="12"/>
  <c r="L6" i="12"/>
  <c r="L7" i="12"/>
  <c r="L8" i="12"/>
  <c r="L9" i="12"/>
  <c r="L10" i="12"/>
  <c r="L11" i="12"/>
  <c r="L12" i="12"/>
  <c r="L13" i="12"/>
  <c r="M6" i="12"/>
  <c r="M7" i="12"/>
  <c r="M8" i="12"/>
  <c r="M9" i="12"/>
  <c r="M10" i="12"/>
  <c r="M11" i="12"/>
  <c r="M12" i="12"/>
  <c r="M13" i="12"/>
  <c r="R6" i="12"/>
  <c r="U23" i="12" s="1"/>
  <c r="R7" i="12"/>
  <c r="R8" i="12"/>
  <c r="R9" i="12"/>
  <c r="R10" i="12"/>
  <c r="R11" i="12"/>
  <c r="R12" i="12"/>
  <c r="R13" i="12"/>
  <c r="O25" i="8"/>
  <c r="J323" i="7"/>
  <c r="J301" i="7"/>
  <c r="J279" i="7"/>
  <c r="J254" i="7"/>
  <c r="J232" i="7"/>
  <c r="J210" i="7"/>
  <c r="J185" i="7"/>
  <c r="J141" i="7"/>
  <c r="J97" i="7"/>
  <c r="J72" i="7"/>
  <c r="J49" i="7"/>
  <c r="J22" i="7"/>
  <c r="J23" i="7" s="1"/>
  <c r="J49" i="3"/>
  <c r="J141" i="3"/>
  <c r="J163" i="3"/>
  <c r="J97" i="3"/>
  <c r="J72" i="3"/>
  <c r="J232" i="3"/>
  <c r="J119" i="3"/>
  <c r="J185" i="3"/>
  <c r="J301" i="3"/>
  <c r="J279" i="3"/>
  <c r="J210" i="3"/>
  <c r="J323" i="3"/>
  <c r="J254" i="3"/>
  <c r="J22" i="3"/>
  <c r="J23" i="3" s="1"/>
  <c r="AP23" i="12" l="1"/>
  <c r="R19" i="12"/>
  <c r="AN25" i="12"/>
  <c r="AJ24" i="12"/>
  <c r="AL23" i="12"/>
  <c r="S15" i="12"/>
  <c r="S31" i="12" s="1"/>
  <c r="Q28" i="12"/>
  <c r="P26" i="12"/>
  <c r="O25" i="12"/>
  <c r="N24" i="12"/>
  <c r="AO27" i="12"/>
  <c r="AQ26" i="12"/>
  <c r="Q26" i="12"/>
  <c r="P24" i="12"/>
  <c r="R27" i="12"/>
  <c r="M25" i="12"/>
  <c r="L23" i="12"/>
  <c r="S14" i="12"/>
  <c r="AO25" i="12"/>
  <c r="AN26" i="12"/>
  <c r="R26" i="12"/>
  <c r="M24" i="12"/>
  <c r="AO24" i="12"/>
  <c r="AP28" i="12"/>
  <c r="AM26" i="12"/>
  <c r="AM23" i="12"/>
  <c r="AS24" i="12"/>
  <c r="AP29" i="12"/>
  <c r="AP30" i="12"/>
  <c r="AM25" i="12"/>
  <c r="AS25" i="12"/>
  <c r="S12" i="12"/>
  <c r="AL25" i="12"/>
  <c r="AP19" i="12"/>
  <c r="S13" i="12"/>
  <c r="AO26" i="12"/>
  <c r="AP31" i="12"/>
  <c r="AP32" i="12"/>
  <c r="AP25" i="12"/>
  <c r="AS27" i="12" s="1"/>
  <c r="AL24" i="12"/>
  <c r="AN27" i="12"/>
  <c r="Q29" i="12"/>
  <c r="P27" i="12"/>
  <c r="O26" i="12"/>
  <c r="N25" i="12"/>
  <c r="S11" i="12"/>
  <c r="AO29" i="12"/>
  <c r="AQ31" i="12"/>
  <c r="AQ32" i="12"/>
  <c r="S7" i="12"/>
  <c r="AQ27" i="12"/>
  <c r="AQ23" i="12"/>
  <c r="S6" i="12"/>
  <c r="V23" i="12" s="1"/>
  <c r="S8" i="12"/>
  <c r="AM24" i="12"/>
  <c r="AQ28" i="12"/>
  <c r="AL26" i="12"/>
  <c r="S9" i="12"/>
  <c r="S26" i="12" s="1"/>
  <c r="AQ29" i="12"/>
  <c r="AN24" i="12"/>
  <c r="AO30" i="12"/>
  <c r="AO31" i="12"/>
  <c r="AQ30" i="12"/>
  <c r="R29" i="12"/>
  <c r="Q24" i="12"/>
  <c r="Q27" i="12"/>
  <c r="P25" i="12"/>
  <c r="O23" i="12"/>
  <c r="Q25" i="12"/>
  <c r="P23" i="12"/>
  <c r="R25" i="12"/>
  <c r="M23" i="12"/>
  <c r="R31" i="12"/>
  <c r="R32" i="12"/>
  <c r="O27" i="12"/>
  <c r="N26" i="12"/>
  <c r="R23" i="12"/>
  <c r="U25" i="12" s="1"/>
  <c r="R30" i="12"/>
  <c r="R28" i="12"/>
  <c r="L24" i="12"/>
  <c r="Q23" i="12"/>
  <c r="Q30" i="12"/>
  <c r="S32" i="12"/>
  <c r="S29" i="12" l="1"/>
  <c r="S23" i="12"/>
  <c r="AT24" i="12"/>
  <c r="AQ25" i="12"/>
  <c r="AT29" i="12" s="1"/>
  <c r="AS32" i="12"/>
  <c r="S24" i="12"/>
  <c r="AQ24" i="12"/>
  <c r="AT25" i="12" s="1"/>
  <c r="AS28" i="12"/>
  <c r="AS33" i="12"/>
  <c r="S30" i="12"/>
  <c r="AS26" i="12"/>
  <c r="S25" i="12"/>
  <c r="AS31" i="12"/>
  <c r="AS29" i="12"/>
  <c r="S28" i="12"/>
  <c r="AS30" i="12"/>
  <c r="S19" i="12"/>
  <c r="S27" i="12"/>
  <c r="U31" i="12"/>
  <c r="U29" i="12"/>
  <c r="U27" i="12"/>
  <c r="U24" i="12"/>
  <c r="U33" i="12"/>
  <c r="U30" i="12"/>
  <c r="U28" i="12"/>
  <c r="U32" i="12"/>
  <c r="U26" i="12"/>
  <c r="AT33" i="12" l="1"/>
  <c r="AT31" i="12"/>
  <c r="AT30" i="12"/>
  <c r="U36" i="12"/>
  <c r="AT32" i="12"/>
  <c r="AT26" i="12"/>
  <c r="AT27" i="12"/>
  <c r="AT28" i="12"/>
  <c r="AT34" i="12"/>
  <c r="AT36" i="12"/>
  <c r="AS36" i="12"/>
  <c r="V31" i="12"/>
  <c r="V24" i="12"/>
  <c r="V27" i="12"/>
  <c r="V25" i="12"/>
  <c r="V32" i="12"/>
  <c r="V28" i="12"/>
  <c r="V26" i="12"/>
  <c r="V30" i="12"/>
  <c r="V33" i="12"/>
  <c r="V29" i="12"/>
  <c r="V36" i="12" l="1"/>
  <c r="V34" i="12"/>
</calcChain>
</file>

<file path=xl/sharedStrings.xml><?xml version="1.0" encoding="utf-8"?>
<sst xmlns="http://schemas.openxmlformats.org/spreadsheetml/2006/main" count="2760" uniqueCount="439">
  <si>
    <t>&gt;</t>
  </si>
  <si>
    <t>svytable(~addNA(M712_CART)</t>
  </si>
  <si>
    <t>design</t>
  </si>
  <si>
    <t>=</t>
  </si>
  <si>
    <t>mu)</t>
  </si>
  <si>
    <t>addNA(M712_CART)</t>
  </si>
  <si>
    <t>&lt;NA&gt;</t>
  </si>
  <si>
    <t>idade_categ</t>
  </si>
  <si>
    <t>&lt;20</t>
  </si>
  <si>
    <t>20-24</t>
  </si>
  <si>
    <t>25-29</t>
  </si>
  <si>
    <t>30-34</t>
  </si>
  <si>
    <t>35-39</t>
  </si>
  <si>
    <t>40-44</t>
  </si>
  <si>
    <t>45-49</t>
  </si>
  <si>
    <t>svytable(~CM008_SITU+idade_categ</t>
  </si>
  <si>
    <t>CM008_SITU</t>
  </si>
  <si>
    <t>svytable(~CM004_MACR+idade_categ</t>
  </si>
  <si>
    <t>CM004_MACR</t>
  </si>
  <si>
    <t>svytable(~escolarizacao_cat+idade_categ</t>
  </si>
  <si>
    <t>escolarizacao_cat</t>
  </si>
  <si>
    <t>&lt;8</t>
  </si>
  <si>
    <t>12+</t>
  </si>
  <si>
    <t>svytable(~etnia_cat+idade_categ</t>
  </si>
  <si>
    <t>etnia_cat</t>
  </si>
  <si>
    <t>Branca</t>
  </si>
  <si>
    <t>Negra</t>
  </si>
  <si>
    <t>Outra</t>
  </si>
  <si>
    <t>total</t>
  </si>
  <si>
    <t>Total</t>
  </si>
  <si>
    <t>filhos_vivos_incluindo_gravidez_cat</t>
  </si>
  <si>
    <t>M619B_FILH_cat</t>
  </si>
  <si>
    <t>4+</t>
  </si>
  <si>
    <t>#total</t>
  </si>
  <si>
    <t>svytable(~M236_TOTA+idade_categ</t>
  </si>
  <si>
    <t>M236_TOTA</t>
  </si>
  <si>
    <t>#</t>
  </si>
  <si>
    <t>Situacaoo</t>
  </si>
  <si>
    <t>domicilio</t>
  </si>
  <si>
    <t>svytable(~M236_TOTA+idade_categ+CM008_SITU</t>
  </si>
  <si>
    <t>Regiao</t>
  </si>
  <si>
    <t>svytable(~M236_TOTA+idade_categ+CM004_MACR</t>
  </si>
  <si>
    <t>Escolaridade</t>
  </si>
  <si>
    <t>svytable(~M236_TOTA+idade_categ+escolarizacao_cat</t>
  </si>
  <si>
    <t>Etnia</t>
  </si>
  <si>
    <t>svytable(~M236_TOTA+idade_categ+etnia_cat</t>
  </si>
  <si>
    <t>Characteristics</t>
  </si>
  <si>
    <t>number of Women (Weighted data)</t>
  </si>
  <si>
    <t>%</t>
  </si>
  <si>
    <t>CTFR (achived)</t>
  </si>
  <si>
    <t>CTFR (desired)</t>
  </si>
  <si>
    <t>% of women with no children</t>
  </si>
  <si>
    <t>Household location</t>
  </si>
  <si>
    <t>Urban</t>
  </si>
  <si>
    <t>Rural</t>
  </si>
  <si>
    <t>Region</t>
  </si>
  <si>
    <t>North</t>
  </si>
  <si>
    <t>Northeast</t>
  </si>
  <si>
    <t>Southeast</t>
  </si>
  <si>
    <t>South</t>
  </si>
  <si>
    <t>Central-West</t>
  </si>
  <si>
    <t>Education</t>
  </si>
  <si>
    <t>Up to 7 years</t>
  </si>
  <si>
    <t>Up to 8 years</t>
  </si>
  <si>
    <t>8–11 years</t>
  </si>
  <si>
    <t>9–11 years</t>
  </si>
  <si>
    <t>12 or more years</t>
  </si>
  <si>
    <t>Ethnicity</t>
  </si>
  <si>
    <t>White</t>
  </si>
  <si>
    <t>Black</t>
  </si>
  <si>
    <t>Other</t>
  </si>
  <si>
    <t>Mean intended number</t>
  </si>
  <si>
    <t xml:space="preserve">Mean actual number </t>
  </si>
  <si>
    <t>Difference</t>
  </si>
  <si>
    <t>all women</t>
  </si>
  <si>
    <t>public servants</t>
  </si>
  <si>
    <t>Marital status</t>
  </si>
  <si>
    <t>Single (never married)</t>
  </si>
  <si>
    <t>Currently married (civil marriage)</t>
  </si>
  <si>
    <t>Currently living together (consensual union)</t>
  </si>
  <si>
    <t>Widowed</t>
  </si>
  <si>
    <t>Separated</t>
  </si>
  <si>
    <t>Legally separated (de facto separated)</t>
  </si>
  <si>
    <t>Divorced</t>
  </si>
  <si>
    <t>Indeterminate / Not specified</t>
  </si>
  <si>
    <t>Weighted data</t>
  </si>
  <si>
    <t>All Women</t>
  </si>
  <si>
    <t>Public servants</t>
  </si>
  <si>
    <t>Desired number of children</t>
  </si>
  <si>
    <t>0</t>
  </si>
  <si>
    <t>1</t>
  </si>
  <si>
    <t>2</t>
  </si>
  <si>
    <t>3</t>
  </si>
  <si>
    <t>Number of achived children</t>
  </si>
  <si>
    <t>Category</t>
  </si>
  <si>
    <t>Women (%)</t>
  </si>
  <si>
    <t>Public servants (%)</t>
  </si>
  <si>
    <t>Age group</t>
  </si>
  <si>
    <t>&lt; 20 years</t>
  </si>
  <si>
    <t>20–24 years</t>
  </si>
  <si>
    <t>25–29 years</t>
  </si>
  <si>
    <t>30–34 years</t>
  </si>
  <si>
    <t>35–39 years</t>
  </si>
  <si>
    <t>40–44 years</t>
  </si>
  <si>
    <t>45–49 years</t>
  </si>
  <si>
    <t>Educational attainment (years of schooling)</t>
  </si>
  <si>
    <t>&lt; 8 years</t>
  </si>
  <si>
    <t>12 years or more</t>
  </si>
  <si>
    <t>Race or color</t>
  </si>
  <si>
    <t>Single</t>
  </si>
  <si>
    <t>Married</t>
  </si>
  <si>
    <t>In a union</t>
  </si>
  <si>
    <t>Widowed / Separated / Divorced</t>
  </si>
  <si>
    <t>Place of residence</t>
  </si>
  <si>
    <t>Current religion</t>
  </si>
  <si>
    <t>Afro-Brazilian</t>
  </si>
  <si>
    <t>Catholic</t>
  </si>
  <si>
    <t>Spiritist</t>
  </si>
  <si>
    <t>Evangelical (Pentecostal)</t>
  </si>
  <si>
    <t>Evangelical (Traditional)</t>
  </si>
  <si>
    <t>None</t>
  </si>
  <si>
    <t>Religious attendance</t>
  </si>
  <si>
    <t>Never</t>
  </si>
  <si>
    <t>Less than once a month</t>
  </si>
  <si>
    <t>Up to three times a month</t>
  </si>
  <si>
    <t>Once a week</t>
  </si>
  <si>
    <t>More than once a week</t>
  </si>
  <si>
    <t>Employment and income status</t>
  </si>
  <si>
    <t>With income</t>
  </si>
  <si>
    <t>Not working / without income</t>
  </si>
  <si>
    <t>Formal contract (%)</t>
  </si>
  <si>
    <t>No formal contract (%)</t>
  </si>
  <si>
    <t>Mean</t>
  </si>
  <si>
    <t>Median</t>
  </si>
  <si>
    <t>SD</t>
  </si>
  <si>
    <t>Min</t>
  </si>
  <si>
    <t>Max</t>
  </si>
  <si>
    <t>No</t>
  </si>
  <si>
    <t>Status employment</t>
  </si>
  <si>
    <t>Yes</t>
  </si>
  <si>
    <t>Reason</t>
  </si>
  <si>
    <t>Response</t>
  </si>
  <si>
    <t>Never wanted to have children</t>
  </si>
  <si>
    <t>Don’t know</t>
  </si>
  <si>
    <t>Haven’t wanted to have children yet</t>
  </si>
  <si>
    <t>Wanted to study or have a career before having children</t>
  </si>
  <si>
    <t>Wanted to enjoy other things in life before becoming a mother</t>
  </si>
  <si>
    <t>Afraid of going through pregnancy</t>
  </si>
  <si>
    <t>Fear of childbirth</t>
  </si>
  <si>
    <t>Never had sexual intercourse</t>
  </si>
  <si>
    <t>Got pregnant and lost the baby</t>
  </si>
  <si>
    <t>Got pregnant and had an abortion</t>
  </si>
  <si>
    <t>Never married</t>
  </si>
  <si>
    <t>Never had a partner with whom I wanted to have children</t>
  </si>
  <si>
    <t>Partner/husband does not want or did not want children</t>
  </si>
  <si>
    <t>Other reasons</t>
  </si>
  <si>
    <t>Put it off too long and had no children</t>
  </si>
  <si>
    <t>Put it off too long and had difficulty conceiving</t>
  </si>
  <si>
    <t>Separated and stayed alone</t>
  </si>
  <si>
    <t>Lost partner who wanted children sooner</t>
  </si>
  <si>
    <t>Felt frustrated for not becoming a mother</t>
  </si>
  <si>
    <t>Found it easier to date or maintain relationships</t>
  </si>
  <si>
    <t>Achieved professional goals</t>
  </si>
  <si>
    <t>Enjoyed life more</t>
  </si>
  <si>
    <t>Believed raising children requires too much energy</t>
  </si>
  <si>
    <t>Became a more confident mother</t>
  </si>
  <si>
    <t>Became a more independent person</t>
  </si>
  <si>
    <t>637 Which of the following reasons best explains why you did not have any live births before the age of 30?</t>
  </si>
  <si>
    <t>no</t>
  </si>
  <si>
    <t>Got pregnant unintentionally</t>
  </si>
  <si>
    <t>Wanted to leave parents’ house</t>
  </si>
  <si>
    <t>Wanted to get married</t>
  </si>
  <si>
    <t>Didn’t know how to avoid having children</t>
  </si>
  <si>
    <t>Didn’t have money to buy contraceptives</t>
  </si>
  <si>
    <t>Married early</t>
  </si>
  <si>
    <t>Had no other option</t>
  </si>
  <si>
    <t>Wanted to be a mother right away</t>
  </si>
  <si>
    <t>Husband/partner wanted to have children right away</t>
  </si>
  <si>
    <t>Did not know where to get contraception</t>
  </si>
  <si>
    <t>Method failed (forgot pill, condom failure, etc.)</t>
  </si>
  <si>
    <t>a grande maioria não foi sem querer</t>
  </si>
  <si>
    <t>amais que a media queria casar</t>
  </si>
  <si>
    <t>a esmagadora maioria sabeia como evitar filhos, mto mais do que a media</t>
  </si>
  <si>
    <t>a grande maioria tinha dinheiro pra comprar contraceptivo</t>
  </si>
  <si>
    <t>a grande maioria casou cedo</t>
  </si>
  <si>
    <t>metade delas quis se tornar mae</t>
  </si>
  <si>
    <t>todas com acesso a informaçao e ao metodo</t>
  </si>
  <si>
    <t>marido queria agora</t>
  </si>
  <si>
    <t>a maioria o metodo não falhou, o que corrobora com querer acima</t>
  </si>
  <si>
    <t>633- Which of the following reasons best explain why you had children or became pregnant before the age of 20?</t>
  </si>
  <si>
    <t>a minoria não queria ter filhos, ou seja, a maoria queria</t>
  </si>
  <si>
    <t>Women by age group and parity</t>
  </si>
  <si>
    <t>Parity (i)</t>
  </si>
  <si>
    <t>15-19</t>
  </si>
  <si>
    <t>40-49</t>
  </si>
  <si>
    <r>
      <t xml:space="preserve">Unprojected </t>
    </r>
    <r>
      <rPr>
        <b/>
        <sz val="11"/>
        <color rgb="FFFF0000"/>
        <rFont val="Arial Narrow"/>
        <family val="2"/>
      </rPr>
      <t>proportions of women</t>
    </r>
    <r>
      <rPr>
        <b/>
        <sz val="11"/>
        <color theme="1"/>
        <rFont val="Arial Narrow"/>
        <family val="2"/>
      </rPr>
      <t xml:space="preserve"> with at least i children</t>
    </r>
  </si>
  <si>
    <t>CFR</t>
  </si>
  <si>
    <r>
      <t xml:space="preserve">Unprojected </t>
    </r>
    <r>
      <rPr>
        <sz val="11"/>
        <color rgb="FFFF0000"/>
        <rFont val="Aptos Narrow"/>
        <family val="2"/>
        <scheme val="minor"/>
      </rPr>
      <t>Parity Progression Ratios</t>
    </r>
  </si>
  <si>
    <t>TOTAL</t>
  </si>
  <si>
    <t>Average parity</t>
  </si>
  <si>
    <t>a maioria delas não queria antes dos 30</t>
  </si>
  <si>
    <t>muito mais da maioria queria se dedicar aos estudos ou carreira</t>
  </si>
  <si>
    <t>a maioria delas queria se divertir com outras coisas antes de se tornar mae</t>
  </si>
  <si>
    <t>a maior parte delas não tinham nem ficado gravidas e nem perderam o bebe</t>
  </si>
  <si>
    <t>não sei se essa respsta ajuda em algo</t>
  </si>
  <si>
    <t>a maioria tb não era casada, responderam sim para nunca caosu</t>
  </si>
  <si>
    <t>menos que. Amedia respondeu que não teve um parceiro que não queria ter filhos</t>
  </si>
  <si>
    <t>642 - Which of the following situations best explains the impact on your life of not having children before the age of 30</t>
  </si>
  <si>
    <t>mais que a media trespondeu que adiou mto e não podia mais ter filhos</t>
  </si>
  <si>
    <t>menos que a media respondeu que não ficou facil manter uma relacao amorosa</t>
  </si>
  <si>
    <t>maior que a meia eh a propocao que respondeu não sabe para essa questao</t>
  </si>
  <si>
    <t>muitas colocaram que era para atingir objetivos profissionais</t>
  </si>
  <si>
    <t>aproveitar mais a vida, mas nos outros grupos isso tb foi respondido nessa media</t>
  </si>
  <si>
    <t xml:space="preserve">nao sabe responder, da a impressao que não parou pra pensar </t>
  </si>
  <si>
    <t xml:space="preserve">muito mais que a media tinha desejo de se tornar uma mulher independente antes de responder isso </t>
  </si>
  <si>
    <t>muitas não se sentiram frustradas por não ter filhos antes dos 30, mas isso eh uma caracteristica que parece geral</t>
  </si>
  <si>
    <t>maioria não tinha medo de ser mae mas parece geral ne</t>
  </si>
  <si>
    <t>muitas com medo de passar pela maternidade, acho que eh meio geral tb mas as func publicas parecem ter um pouco mais</t>
  </si>
  <si>
    <t>ACHIVED</t>
  </si>
  <si>
    <t>DESIRED</t>
  </si>
  <si>
    <t>============================</t>
  </si>
  <si>
    <t>==</t>
  </si>
  <si>
    <t>Subgrupo:</t>
  </si>
  <si>
    <t>mu</t>
  </si>
  <si>
    <t>---</t>
  </si>
  <si>
    <t>Resumo</t>
  </si>
  <si>
    <t>(junta_df)</t>
  </si>
  <si>
    <t>Age</t>
  </si>
  <si>
    <t>AverageParity</t>
  </si>
  <si>
    <t>CTFR_pprs</t>
  </si>
  <si>
    <t>CTFR_prop</t>
  </si>
  <si>
    <t>20-29</t>
  </si>
  <si>
    <t>30-39</t>
  </si>
  <si>
    <t>PPR</t>
  </si>
  <si>
    <t>(40-49)</t>
  </si>
  <si>
    <t>i</t>
  </si>
  <si>
    <t>1..4</t>
  </si>
  <si>
    <t>Parity</t>
  </si>
  <si>
    <t>pub</t>
  </si>
  <si>
    <t>yes</t>
  </si>
  <si>
    <t>PPR_pub</t>
  </si>
  <si>
    <t>PPR_mu</t>
  </si>
  <si>
    <t>PPR_yes</t>
  </si>
  <si>
    <t>PPR_no</t>
  </si>
  <si>
    <t>------------------------</t>
  </si>
  <si>
    <t>Resultados</t>
  </si>
  <si>
    <t>para:</t>
  </si>
  <si>
    <t>==========</t>
  </si>
  <si>
    <t>prod</t>
  </si>
  <si>
    <t>Freq</t>
  </si>
  <si>
    <t>media</t>
  </si>
  <si>
    <t>filhos tidos</t>
  </si>
  <si>
    <t>filhos desejados</t>
  </si>
  <si>
    <t>idade</t>
  </si>
  <si>
    <t>35-49</t>
  </si>
  <si>
    <t>(35-49)</t>
  </si>
  <si>
    <t>(45-49)</t>
  </si>
  <si>
    <t>20-34</t>
  </si>
  <si>
    <t>tidos</t>
  </si>
  <si>
    <t>idade_categ_10</t>
  </si>
  <si>
    <t>idade_categ_15</t>
  </si>
  <si>
    <t>desejados</t>
  </si>
  <si>
    <t>0-1</t>
  </si>
  <si>
    <t>1-2</t>
  </si>
  <si>
    <t>2-3</t>
  </si>
  <si>
    <t>3-4</t>
  </si>
  <si>
    <t>Public</t>
  </si>
  <si>
    <t>Yes contract</t>
  </si>
  <si>
    <t>No contract</t>
  </si>
  <si>
    <t>0–1</t>
  </si>
  <si>
    <t>1–2</t>
  </si>
  <si>
    <t>2–3</t>
  </si>
  <si>
    <t>3–4</t>
  </si>
  <si>
    <t>Actual</t>
  </si>
  <si>
    <t>With formal contract</t>
  </si>
  <si>
    <t>Without formal contract</t>
  </si>
  <si>
    <t>Public Servants</t>
  </si>
  <si>
    <t xml:space="preserve">Considering  Women aged 45-49 </t>
  </si>
  <si>
    <t xml:space="preserve">Considering  Women aged 40-49 </t>
  </si>
  <si>
    <t>Intended</t>
  </si>
  <si>
    <t xml:space="preserve">Considering  Women aged 35-49 </t>
  </si>
  <si>
    <t>mean desired number</t>
  </si>
  <si>
    <t>grupo</t>
  </si>
  <si>
    <t>mean desired number of childless (18–35)</t>
  </si>
  <si>
    <t>intention to have 2nd child</t>
  </si>
  <si>
    <t>intention to have 3rd child</t>
  </si>
  <si>
    <t>actual number of children (40–49)</t>
  </si>
  <si>
    <t>actual number of children (35–49)</t>
  </si>
  <si>
    <t>yes (Formal contract)</t>
  </si>
  <si>
    <t>no (No formal contract)</t>
  </si>
  <si>
    <t>pub (Public servants)</t>
  </si>
  <si>
    <t>-</t>
  </si>
  <si>
    <t>1.19*</t>
  </si>
  <si>
    <t>1.21***</t>
  </si>
  <si>
    <t>1.20***</t>
  </si>
  <si>
    <t>y_want_2nd</t>
  </si>
  <si>
    <t>ordinal</t>
  </si>
  <si>
    <t>logistic</t>
  </si>
  <si>
    <t>y_want_3nd</t>
  </si>
  <si>
    <t>0.23***</t>
  </si>
  <si>
    <t>*p&lt;0.1; **p&lt;0.05; ***p&lt;0.01</t>
  </si>
  <si>
    <t>0.21*</t>
  </si>
  <si>
    <t>0.29***</t>
  </si>
  <si>
    <t>0.36*</t>
  </si>
  <si>
    <t>employment</t>
  </si>
  <si>
    <t>Coef. Public servants</t>
  </si>
  <si>
    <t>AIC</t>
  </si>
  <si>
    <t>&lt;0.001</t>
  </si>
  <si>
    <t>Model</t>
  </si>
  <si>
    <t>Variables included</t>
  </si>
  <si>
    <t>p-value</t>
  </si>
  <si>
    <t>Interpretation</t>
  </si>
  <si>
    <t>1. Group</t>
  </si>
  <si>
    <t>Only employment type</t>
  </si>
  <si>
    <t>2. + Education</t>
  </si>
  <si>
    <t>group + education</t>
  </si>
  <si>
    <t>3. + Marital status</t>
  </si>
  <si>
    <t>group + education + marital status</t>
  </si>
  <si>
    <t>4. + Age</t>
  </si>
  <si>
    <t>group + education + marital status + age</t>
  </si>
  <si>
    <t>5. + Region</t>
  </si>
  <si>
    <t>group + education + marital status + age + region</t>
  </si>
  <si>
    <t>Public servants are slightly more likely to express the desire for a second child, but the effect is small and not statistically significant.</t>
  </si>
  <si>
    <t>Public servants show a higher likelihood of desiring a third child than other women, but the effect is only marginally significant.</t>
  </si>
  <si>
    <t>Coef. Public servants of a third child among mothers of two child</t>
  </si>
  <si>
    <t>Coef. Public servants of a second child among mothers of one child</t>
  </si>
  <si>
    <r>
      <t xml:space="preserve">Public servants have slightly </t>
    </r>
    <r>
      <rPr>
        <i/>
        <sz val="12"/>
        <color theme="1"/>
        <rFont val="Aptos Narrow"/>
        <family val="2"/>
        <scheme val="minor"/>
      </rPr>
      <t>fewer</t>
    </r>
    <r>
      <rPr>
        <sz val="12"/>
        <color theme="1"/>
        <rFont val="Aptos Narrow"/>
        <family val="2"/>
        <scheme val="minor"/>
      </rPr>
      <t xml:space="preserve"> children than other women, but the difference is not statistically significant.</t>
    </r>
  </si>
  <si>
    <t>Public servants desire more children than other women - a crude effect without controls.</t>
  </si>
  <si>
    <t>The effect remains virtually unchanged (it is not explained by educational level).</t>
  </si>
  <si>
    <t>The coefficient decreases but remains significant (part of the difference is due to the higher share of married/cohabiting women in the public sector).</t>
  </si>
  <si>
    <t>The effect drops by about half (age explains much of the difference, but a small institutional effect remains).</t>
  </si>
  <si>
    <t>The effect further weakens and loses significance (regional composition accounts for an additional part of the difference, as public servants are concentrated in lower-fertility regions).</t>
  </si>
  <si>
    <t>Public servants show a slightly higher desired number of children than other women.</t>
  </si>
  <si>
    <t>After controlling for education, the effect weakens and loses significance (part of the initial difference reflects educational composition).</t>
  </si>
  <si>
    <t>The coefficient continues to decline (the remaining difference is partly due to the higher share of married/cohabiting women in the public sector).</t>
  </si>
  <si>
    <t>The effect further weakens (age explains much of the variation in fertility desires).</t>
  </si>
  <si>
    <t>Regional composition fully accounts for the remaining difference, indicating no distinct institutional effect.</t>
  </si>
  <si>
    <t>After controlling for education, the effect becomes smaller and remains non-significant (educational differences do not explain the weak association).</t>
  </si>
  <si>
    <t>Adding marital status does not substantially change the coefficient (the difference is not driven by marital composition).</t>
  </si>
  <si>
    <t>Including age does not improve the model (life-cycle factors do not explain the variation in the desire for a second child).</t>
  </si>
  <si>
    <t>The effect remains non-significant (regional composition adds no explanatory power; public servants do not differ from others in their second-child intentions).</t>
  </si>
  <si>
    <t>Once education is added, the sign reverses (the small difference seems related to educational composition, but remains non-significant).</t>
  </si>
  <si>
    <t>The effect remains stable and still marginally significant (educational differences do not account for this gap).</t>
  </si>
  <si>
    <t>The coefficient slightly decreases and becomes less significant (part of the difference is related to marital composition).</t>
  </si>
  <si>
    <t>The effect weakens with age controls (fertility timing explains part of the association).</t>
  </si>
  <si>
    <t>The coefficient declines and becomes non-significant (regional context fully accounts for the observed difference).</t>
  </si>
  <si>
    <t>The coefficient decreases slightly and stays non-significant (part of the variation reflects marital structure).</t>
  </si>
  <si>
    <t>Adding age does not change the result (differences by age within this 40-49 group are minor).</t>
  </si>
  <si>
    <t>The effect remains small and insignificant (once regional composition is controlled, no institutional gap remains).</t>
  </si>
  <si>
    <r>
      <t xml:space="preserve">Public servants have slightly </t>
    </r>
    <r>
      <rPr>
        <i/>
        <sz val="12"/>
        <color theme="1"/>
        <rFont val="Aptos Narrow"/>
        <family val="2"/>
        <scheme val="minor"/>
      </rPr>
      <t>fewer</t>
    </r>
    <r>
      <rPr>
        <sz val="12"/>
        <color theme="1"/>
        <rFont val="Aptos Narrow"/>
        <family val="2"/>
        <scheme val="minor"/>
      </rPr>
      <t xml:space="preserve"> children than other women, but the effect is only </t>
    </r>
    <r>
      <rPr>
        <sz val="12"/>
        <color rgb="FFC00000"/>
        <rFont val="Aptos Narrow (Corpo)"/>
      </rPr>
      <t>marginally significant</t>
    </r>
    <r>
      <rPr>
        <sz val="12"/>
        <color theme="1"/>
        <rFont val="Aptos Narrow"/>
        <family val="2"/>
        <scheme val="minor"/>
      </rPr>
      <t>.</t>
    </r>
  </si>
  <si>
    <t>Once education is controlled for, the sign reverses and becomes positive (differences in educational attainment explain the initial gap).</t>
  </si>
  <si>
    <t>The coefficient increases and becomes marginally significant (being married/cohabiting is more common among public servants and relates to higher completed fertility).</t>
  </si>
  <si>
    <t>Controlling for age slightly attenuates the effect (small differences in fertility timing remain).</t>
  </si>
  <si>
    <t>After accounting for regional composition, the coefficient becomes small and non-significant (no independent institutional effect of public employment).</t>
  </si>
  <si>
    <t>Actual Number of Children (Ages 40–49) – Sequential Ordered Logit Models</t>
  </si>
  <si>
    <t>Actual Number of Children (Ages 35–49) – Sequential Ordered Logit Models</t>
  </si>
  <si>
    <t>Table - models for desired fertility among childless women (ordered logit regression)</t>
  </si>
  <si>
    <t>Table - models for desired number of children among Brazilian women (ordered logit regression)</t>
  </si>
  <si>
    <t>Table logistic regression for the desire of a second child among mothers of one child</t>
  </si>
  <si>
    <t>Table logistic regression for the desire of a third child among mothers of two child</t>
  </si>
  <si>
    <t>Categoria</t>
  </si>
  <si>
    <t>d_childless</t>
  </si>
  <si>
    <t>di2</t>
  </si>
  <si>
    <t>d_real_40_49</t>
  </si>
  <si>
    <t>d_real_35_49</t>
  </si>
  <si>
    <t>8–11</t>
  </si>
  <si>
    <t>&lt;30</t>
  </si>
  <si>
    <t>30–39</t>
  </si>
  <si>
    <t>40–49</t>
  </si>
  <si>
    <t>Solteira</t>
  </si>
  <si>
    <t>Casada</t>
  </si>
  <si>
    <t>Unida</t>
  </si>
  <si>
    <t>Centro-Oeste</t>
  </si>
  <si>
    <t>Nordeste</t>
  </si>
  <si>
    <t>Norte</t>
  </si>
  <si>
    <t>Sudeste</t>
  </si>
  <si>
    <t>Sul</t>
  </si>
  <si>
    <t>di3</t>
  </si>
  <si>
    <t>Viuva/Separada/Divorciada</t>
  </si>
  <si>
    <t>Tabela Resumo das Distribuições por Base (Valores Absolutos)</t>
  </si>
  <si>
    <t>What it captures</t>
  </si>
  <si>
    <t>Main sample filters</t>
  </si>
  <si>
    <t>Variables used in the model</t>
  </si>
  <si>
    <t>N</t>
  </si>
  <si>
    <t>d_fix (desired)</t>
  </si>
  <si>
    <t>Desired number among young women</t>
  </si>
  <si>
    <t>Intention to have a second child</t>
  </si>
  <si>
    <t>Women with one child</t>
  </si>
  <si>
    <t>Intention to have a third child</t>
  </si>
  <si>
    <t>Women with two children</t>
  </si>
  <si>
    <t>Completed fertility</t>
  </si>
  <si>
    <t>Near-completed fertility</t>
  </si>
  <si>
    <t>y(desired); x(contract, education, marital status, age, region)</t>
  </si>
  <si>
    <t>y(want second); x(contract, education, marital status, age, region)</t>
  </si>
  <si>
    <t>y(want third); x(contract, education, marital status, age, region)</t>
  </si>
  <si>
    <t>y(real); x(contract, education, marital status, age, region)</t>
  </si>
  <si>
    <t>1. Schoolar</t>
  </si>
  <si>
    <t>2. Contract</t>
  </si>
  <si>
    <t>3. Age (10 y)</t>
  </si>
  <si>
    <t>4. Marital Status</t>
  </si>
  <si>
    <t>5. Region</t>
  </si>
  <si>
    <t>database</t>
  </si>
  <si>
    <t>Desired number of children (0-4+), ordinal</t>
  </si>
  <si>
    <t>Women aged 15-9</t>
  </si>
  <si>
    <t>Ages 40-49</t>
  </si>
  <si>
    <t>Ages 35-49</t>
  </si>
  <si>
    <t>Ages 18-35</t>
  </si>
  <si>
    <t>------------------------------------------------------</t>
  </si>
  <si>
    <t>Mulheres</t>
  </si>
  <si>
    <t>Funcionarias_Publicas</t>
  </si>
  <si>
    <t>Com_Carteira</t>
  </si>
  <si>
    <t>Sem_Carteira</t>
  </si>
  <si>
    <t>estado_conj_cat</t>
  </si>
  <si>
    <t>1.Solteira</t>
  </si>
  <si>
    <t>2.Casada</t>
  </si>
  <si>
    <t>3.Unida</t>
  </si>
  <si>
    <t>4.Viuva-Separada-Divorciada-Desquitada</t>
  </si>
  <si>
    <t>regiao_cat</t>
  </si>
  <si>
    <t>situ_domicilio_cat</t>
  </si>
  <si>
    <t>Urbano</t>
  </si>
  <si>
    <t>religiao_atual_cat</t>
  </si>
  <si>
    <t>Afro-brasileira</t>
  </si>
  <si>
    <t>Catolica</t>
  </si>
  <si>
    <t>Espirita</t>
  </si>
  <si>
    <t>Evangelica_Pentecostal</t>
  </si>
  <si>
    <t>Evangelica_Tradicional</t>
  </si>
  <si>
    <t>Nenhuma</t>
  </si>
  <si>
    <t>religiao_freq_cat</t>
  </si>
  <si>
    <t>1.Nunca</t>
  </si>
  <si>
    <t>2.Menos_1m</t>
  </si>
  <si>
    <t>3.ate_3m</t>
  </si>
  <si>
    <t>4.1_semana</t>
  </si>
  <si>
    <t>5.Mais_1_semana</t>
  </si>
  <si>
    <t>rend_status_cat</t>
  </si>
  <si>
    <t>Com_rendimento</t>
  </si>
  <si>
    <t>nao_trab_sem_rend</t>
  </si>
  <si>
    <t>desired number</t>
  </si>
  <si>
    <t>ponderado</t>
  </si>
  <si>
    <t>desejado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</si>
</sst>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-* #,##0.00_-;\-* #,##0.00_-;_-* &quot;-&quot;??_-;_-@_-"/>
    <numFmt numFmtId="164" formatCode="_-* #,##0_-;\-* #,##0_-;_-* &quot;-&quot;??_-;_-@_-"/>
    <numFmt numFmtId="165" formatCode="0.0%"/>
    <numFmt numFmtId="166" formatCode="0.0"/>
    <numFmt numFmtId="167" formatCode="&quot;R$&quot;\ #,##0"/>
    <numFmt numFmtId="168" formatCode="_(* #,##0.00_);_(* \(#,##0.00\);_(* &quot;-&quot;??_);_(@_)"/>
    <numFmt numFmtId="169" formatCode="_ * #,##0_ ;_ * \-#,##0_ ;_0_;_ @_ "/>
    <numFmt numFmtId="170" formatCode="0.0000"/>
    <numFmt numFmtId="171" formatCode="0.000"/>
    <numFmt numFmtId="172" formatCode="_ * #,##0_ ;_ * \-#,##0_ ;_ * &quot;-&quot;??_ ;_ @_ "/>
    <numFmt numFmtId="173" formatCode="0.00000"/>
  </numFmts>
  <fonts count="2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scheme val="minor"/>
    </font>
    <font>
      <b/>
      <sz val="12"/>
      <color theme="1"/>
      <name val="Aptos Narrow"/>
      <scheme val="minor"/>
    </font>
    <font>
      <b/>
      <sz val="11"/>
      <color theme="1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2"/>
      <color rgb="FFC00000"/>
      <name val="Aptos Narrow"/>
      <scheme val="minor"/>
    </font>
    <font>
      <sz val="11"/>
      <color theme="1"/>
      <name val="Arial Narrow"/>
      <family val="2"/>
    </font>
    <font>
      <b/>
      <sz val="11"/>
      <name val="Arial Narrow"/>
      <family val="2"/>
    </font>
    <font>
      <b/>
      <sz val="11"/>
      <color theme="1"/>
      <name val="Arial Narrow"/>
      <family val="2"/>
    </font>
    <font>
      <b/>
      <sz val="11"/>
      <color rgb="FFFF0000"/>
      <name val="Arial Narrow"/>
      <family val="2"/>
    </font>
    <font>
      <sz val="10"/>
      <color rgb="FF006100"/>
      <name val="Arial"/>
      <family val="2"/>
    </font>
    <font>
      <sz val="10"/>
      <color theme="1"/>
      <name val="Arial"/>
      <family val="2"/>
    </font>
    <font>
      <sz val="8.25"/>
      <color rgb="FF444444"/>
      <name val="Arial"/>
      <family val="2"/>
    </font>
    <font>
      <sz val="11"/>
      <color theme="0"/>
      <name val="Aptos Narrow"/>
      <family val="2"/>
      <scheme val="minor"/>
    </font>
    <font>
      <b/>
      <sz val="14"/>
      <color theme="0"/>
      <name val="Aptos Narrow"/>
      <scheme val="minor"/>
    </font>
    <font>
      <sz val="11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theme="1"/>
      <name val="Aptos Narrow"/>
      <scheme val="minor"/>
    </font>
    <font>
      <sz val="12"/>
      <color rgb="FF000000"/>
      <name val="Times New Roman"/>
      <family val="1"/>
    </font>
    <font>
      <i/>
      <sz val="12"/>
      <color theme="1"/>
      <name val="Aptos Narrow"/>
      <family val="2"/>
      <scheme val="minor"/>
    </font>
    <font>
      <b/>
      <sz val="12"/>
      <color rgb="FFC00000"/>
      <name val="Aptos Narrow"/>
      <family val="2"/>
      <scheme val="minor"/>
    </font>
    <font>
      <sz val="12"/>
      <color rgb="FFC00000"/>
      <name val="Aptos Narrow (Corpo)"/>
    </font>
    <font>
      <b/>
      <sz val="18"/>
      <color theme="1"/>
      <name val="Aptos Narrow"/>
      <family val="2"/>
      <scheme val="minor"/>
    </font>
    <font>
      <b/>
      <sz val="24"/>
      <color theme="1"/>
      <name val="Aptos Narrow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0.249977111117893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3" fillId="0" borderId="0"/>
    <xf numFmtId="168" fontId="3" fillId="0" borderId="0" applyFont="0" applyFill="0" applyBorder="0" applyAlignment="0" applyProtection="0"/>
  </cellStyleXfs>
  <cellXfs count="195">
    <xf numFmtId="0" fontId="0" fillId="0" borderId="0" xfId="0"/>
    <xf numFmtId="1" fontId="0" fillId="0" borderId="0" xfId="0" applyNumberFormat="1"/>
    <xf numFmtId="16" fontId="0" fillId="0" borderId="0" xfId="0" applyNumberFormat="1"/>
    <xf numFmtId="164" fontId="0" fillId="0" borderId="1" xfId="1" applyNumberFormat="1" applyFont="1" applyBorder="1"/>
    <xf numFmtId="0" fontId="0" fillId="0" borderId="1" xfId="0" applyBorder="1"/>
    <xf numFmtId="0" fontId="0" fillId="0" borderId="1" xfId="0" applyBorder="1" applyAlignment="1">
      <alignment horizontal="center"/>
    </xf>
    <xf numFmtId="164" fontId="0" fillId="0" borderId="1" xfId="1" applyNumberFormat="1" applyFont="1" applyBorder="1" applyAlignment="1">
      <alignment horizontal="center"/>
    </xf>
    <xf numFmtId="165" fontId="0" fillId="0" borderId="1" xfId="2" applyNumberFormat="1" applyFont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1" applyNumberFormat="1" applyFont="1" applyBorder="1"/>
    <xf numFmtId="0" fontId="0" fillId="3" borderId="0" xfId="0" applyFill="1"/>
    <xf numFmtId="164" fontId="0" fillId="3" borderId="0" xfId="1" applyNumberFormat="1" applyFont="1" applyFill="1" applyBorder="1"/>
    <xf numFmtId="2" fontId="0" fillId="4" borderId="0" xfId="0" applyNumberFormat="1" applyFill="1"/>
    <xf numFmtId="0" fontId="4" fillId="5" borderId="1" xfId="0" applyFont="1" applyFill="1" applyBorder="1" applyAlignment="1">
      <alignment horizontal="center" vertical="center" wrapText="1"/>
    </xf>
    <xf numFmtId="0" fontId="0" fillId="5" borderId="1" xfId="0" applyFill="1" applyBorder="1" applyAlignment="1">
      <alignment horizontal="center"/>
    </xf>
    <xf numFmtId="0" fontId="0" fillId="0" borderId="0" xfId="0" applyAlignment="1">
      <alignment horizontal="center" vertical="center" wrapText="1"/>
    </xf>
    <xf numFmtId="0" fontId="4" fillId="5" borderId="1" xfId="0" applyFont="1" applyFill="1" applyBorder="1" applyAlignment="1">
      <alignment horizontal="center"/>
    </xf>
    <xf numFmtId="3" fontId="0" fillId="5" borderId="1" xfId="2" applyNumberFormat="1" applyFont="1" applyFill="1" applyBorder="1" applyAlignment="1">
      <alignment horizontal="center"/>
    </xf>
    <xf numFmtId="9" fontId="0" fillId="5" borderId="1" xfId="0" applyNumberFormat="1" applyFill="1" applyBorder="1" applyAlignment="1">
      <alignment horizontal="center"/>
    </xf>
    <xf numFmtId="2" fontId="0" fillId="5" borderId="1" xfId="0" applyNumberFormat="1" applyFill="1" applyBorder="1" applyAlignment="1">
      <alignment horizontal="center"/>
    </xf>
    <xf numFmtId="165" fontId="0" fillId="5" borderId="1" xfId="0" applyNumberFormat="1" applyFill="1" applyBorder="1" applyAlignment="1">
      <alignment horizontal="center"/>
    </xf>
    <xf numFmtId="165" fontId="0" fillId="0" borderId="0" xfId="0" applyNumberFormat="1" applyAlignment="1">
      <alignment horizontal="center"/>
    </xf>
    <xf numFmtId="165" fontId="0" fillId="5" borderId="1" xfId="2" applyNumberFormat="1" applyFont="1" applyFill="1" applyBorder="1" applyAlignment="1">
      <alignment horizontal="center"/>
    </xf>
    <xf numFmtId="165" fontId="0" fillId="0" borderId="0" xfId="2" applyNumberFormat="1" applyFont="1" applyAlignment="1">
      <alignment horizontal="center"/>
    </xf>
    <xf numFmtId="0" fontId="0" fillId="5" borderId="1" xfId="0" quotePrefix="1" applyFill="1" applyBorder="1" applyAlignment="1">
      <alignment horizontal="center"/>
    </xf>
    <xf numFmtId="0" fontId="0" fillId="5" borderId="1" xfId="0" applyFill="1" applyBorder="1" applyAlignment="1">
      <alignment horizontal="center" wrapText="1"/>
    </xf>
    <xf numFmtId="0" fontId="6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/>
    </xf>
    <xf numFmtId="3" fontId="1" fillId="5" borderId="1" xfId="0" applyNumberFormat="1" applyFont="1" applyFill="1" applyBorder="1" applyAlignment="1">
      <alignment horizontal="center"/>
    </xf>
    <xf numFmtId="9" fontId="0" fillId="5" borderId="1" xfId="2" applyFont="1" applyFill="1" applyBorder="1" applyAlignment="1">
      <alignment horizontal="center"/>
    </xf>
    <xf numFmtId="0" fontId="0" fillId="5" borderId="1" xfId="0" applyFill="1" applyBorder="1"/>
    <xf numFmtId="0" fontId="0" fillId="5" borderId="1" xfId="0" applyFill="1" applyBorder="1" applyAlignment="1">
      <alignment horizontal="center" vertical="center" wrapText="1"/>
    </xf>
    <xf numFmtId="0" fontId="0" fillId="5" borderId="1" xfId="0" quotePrefix="1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166" fontId="0" fillId="5" borderId="1" xfId="0" applyNumberFormat="1" applyFill="1" applyBorder="1" applyAlignment="1">
      <alignment horizontal="center"/>
    </xf>
    <xf numFmtId="0" fontId="2" fillId="5" borderId="1" xfId="0" applyFont="1" applyFill="1" applyBorder="1" applyAlignment="1">
      <alignment horizontal="center" wrapText="1"/>
    </xf>
    <xf numFmtId="167" fontId="0" fillId="5" borderId="1" xfId="0" applyNumberFormat="1" applyFill="1" applyBorder="1" applyAlignment="1">
      <alignment horizontal="center"/>
    </xf>
    <xf numFmtId="166" fontId="0" fillId="5" borderId="0" xfId="0" applyNumberFormat="1" applyFill="1" applyAlignment="1">
      <alignment horizontal="center"/>
    </xf>
    <xf numFmtId="0" fontId="2" fillId="5" borderId="0" xfId="0" applyFont="1" applyFill="1" applyAlignment="1">
      <alignment horizontal="center" vertical="center"/>
    </xf>
    <xf numFmtId="0" fontId="0" fillId="0" borderId="0" xfId="0" applyAlignment="1">
      <alignment horizontal="left"/>
    </xf>
    <xf numFmtId="0" fontId="0" fillId="6" borderId="0" xfId="0" applyFill="1" applyAlignment="1">
      <alignment horizontal="center"/>
    </xf>
    <xf numFmtId="166" fontId="0" fillId="6" borderId="0" xfId="0" applyNumberFormat="1" applyFill="1" applyAlignment="1">
      <alignment horizontal="center"/>
    </xf>
    <xf numFmtId="166" fontId="8" fillId="5" borderId="0" xfId="0" applyNumberFormat="1" applyFont="1" applyFill="1" applyAlignment="1">
      <alignment horizontal="center"/>
    </xf>
    <xf numFmtId="0" fontId="0" fillId="6" borderId="7" xfId="0" applyFill="1" applyBorder="1" applyAlignment="1">
      <alignment horizontal="center"/>
    </xf>
    <xf numFmtId="166" fontId="0" fillId="6" borderId="7" xfId="0" applyNumberFormat="1" applyFill="1" applyBorder="1" applyAlignment="1">
      <alignment horizontal="center"/>
    </xf>
    <xf numFmtId="166" fontId="0" fillId="5" borderId="8" xfId="0" applyNumberFormat="1" applyFill="1" applyBorder="1" applyAlignment="1">
      <alignment horizontal="center"/>
    </xf>
    <xf numFmtId="166" fontId="8" fillId="5" borderId="10" xfId="0" applyNumberFormat="1" applyFont="1" applyFill="1" applyBorder="1" applyAlignment="1">
      <alignment horizontal="center"/>
    </xf>
    <xf numFmtId="0" fontId="0" fillId="6" borderId="12" xfId="0" applyFill="1" applyBorder="1" applyAlignment="1">
      <alignment horizontal="center"/>
    </xf>
    <xf numFmtId="166" fontId="0" fillId="6" borderId="12" xfId="0" applyNumberFormat="1" applyFill="1" applyBorder="1" applyAlignment="1">
      <alignment horizontal="center"/>
    </xf>
    <xf numFmtId="166" fontId="0" fillId="5" borderId="13" xfId="0" applyNumberFormat="1" applyFill="1" applyBorder="1" applyAlignment="1">
      <alignment horizontal="center"/>
    </xf>
    <xf numFmtId="166" fontId="0" fillId="5" borderId="10" xfId="0" applyNumberFormat="1" applyFill="1" applyBorder="1" applyAlignment="1">
      <alignment horizontal="center"/>
    </xf>
    <xf numFmtId="166" fontId="0" fillId="5" borderId="7" xfId="0" applyNumberFormat="1" applyFill="1" applyBorder="1" applyAlignment="1">
      <alignment horizontal="center"/>
    </xf>
    <xf numFmtId="166" fontId="0" fillId="5" borderId="12" xfId="0" applyNumberFormat="1" applyFill="1" applyBorder="1" applyAlignment="1">
      <alignment horizontal="center"/>
    </xf>
    <xf numFmtId="166" fontId="8" fillId="5" borderId="8" xfId="0" applyNumberFormat="1" applyFont="1" applyFill="1" applyBorder="1" applyAlignment="1">
      <alignment horizontal="center"/>
    </xf>
    <xf numFmtId="0" fontId="2" fillId="6" borderId="14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/>
    </xf>
    <xf numFmtId="0" fontId="2" fillId="6" borderId="15" xfId="0" applyFont="1" applyFill="1" applyBorder="1" applyAlignment="1">
      <alignment horizontal="center" vertical="center" wrapText="1"/>
    </xf>
    <xf numFmtId="0" fontId="2" fillId="6" borderId="16" xfId="0" applyFont="1" applyFill="1" applyBorder="1" applyAlignment="1">
      <alignment horizontal="center" vertical="center" wrapText="1"/>
    </xf>
    <xf numFmtId="166" fontId="0" fillId="6" borderId="8" xfId="0" applyNumberFormat="1" applyFill="1" applyBorder="1" applyAlignment="1">
      <alignment horizontal="center"/>
    </xf>
    <xf numFmtId="166" fontId="0" fillId="6" borderId="13" xfId="0" applyNumberFormat="1" applyFill="1" applyBorder="1" applyAlignment="1">
      <alignment horizontal="center"/>
    </xf>
    <xf numFmtId="0" fontId="9" fillId="0" borderId="0" xfId="3" applyFont="1"/>
    <xf numFmtId="0" fontId="10" fillId="0" borderId="0" xfId="3" applyFont="1"/>
    <xf numFmtId="0" fontId="3" fillId="0" borderId="0" xfId="3"/>
    <xf numFmtId="0" fontId="11" fillId="0" borderId="2" xfId="3" applyFont="1" applyBorder="1"/>
    <xf numFmtId="0" fontId="11" fillId="7" borderId="2" xfId="3" applyFont="1" applyFill="1" applyBorder="1"/>
    <xf numFmtId="0" fontId="11" fillId="8" borderId="0" xfId="3" applyFont="1" applyFill="1"/>
    <xf numFmtId="0" fontId="9" fillId="0" borderId="0" xfId="3" applyFont="1" applyAlignment="1">
      <alignment horizontal="center"/>
    </xf>
    <xf numFmtId="0" fontId="11" fillId="0" borderId="0" xfId="3" applyFont="1" applyAlignment="1">
      <alignment horizontal="center"/>
    </xf>
    <xf numFmtId="0" fontId="3" fillId="0" borderId="0" xfId="3" applyAlignment="1">
      <alignment horizontal="center"/>
    </xf>
    <xf numFmtId="169" fontId="13" fillId="2" borderId="0" xfId="4" applyNumberFormat="1" applyFont="1" applyFill="1" applyProtection="1">
      <protection locked="0"/>
    </xf>
    <xf numFmtId="169" fontId="13" fillId="7" borderId="0" xfId="4" applyNumberFormat="1" applyFont="1" applyFill="1" applyProtection="1">
      <protection locked="0"/>
    </xf>
    <xf numFmtId="169" fontId="13" fillId="8" borderId="0" xfId="4" applyNumberFormat="1" applyFont="1" applyFill="1" applyProtection="1">
      <protection locked="0"/>
    </xf>
    <xf numFmtId="0" fontId="11" fillId="0" borderId="2" xfId="3" applyFont="1" applyBorder="1" applyAlignment="1">
      <alignment horizontal="center"/>
    </xf>
    <xf numFmtId="0" fontId="11" fillId="7" borderId="2" xfId="3" applyFont="1" applyFill="1" applyBorder="1" applyAlignment="1">
      <alignment horizontal="center"/>
    </xf>
    <xf numFmtId="0" fontId="11" fillId="8" borderId="2" xfId="3" applyFont="1" applyFill="1" applyBorder="1" applyAlignment="1">
      <alignment horizontal="center"/>
    </xf>
    <xf numFmtId="0" fontId="14" fillId="0" borderId="0" xfId="3" applyFont="1" applyAlignment="1">
      <alignment horizontal="center"/>
    </xf>
    <xf numFmtId="0" fontId="14" fillId="7" borderId="0" xfId="3" applyFont="1" applyFill="1" applyAlignment="1">
      <alignment horizontal="center"/>
    </xf>
    <xf numFmtId="0" fontId="14" fillId="8" borderId="0" xfId="3" applyFont="1" applyFill="1" applyAlignment="1">
      <alignment horizontal="center"/>
    </xf>
    <xf numFmtId="170" fontId="14" fillId="0" borderId="0" xfId="3" applyNumberFormat="1" applyFont="1" applyAlignment="1">
      <alignment horizontal="center"/>
    </xf>
    <xf numFmtId="170" fontId="14" fillId="7" borderId="0" xfId="3" applyNumberFormat="1" applyFont="1" applyFill="1" applyAlignment="1">
      <alignment horizontal="center"/>
    </xf>
    <xf numFmtId="170" fontId="14" fillId="8" borderId="0" xfId="3" applyNumberFormat="1" applyFont="1" applyFill="1" applyAlignment="1">
      <alignment horizontal="center"/>
    </xf>
    <xf numFmtId="171" fontId="14" fillId="9" borderId="0" xfId="3" applyNumberFormat="1" applyFont="1" applyFill="1" applyAlignment="1">
      <alignment horizontal="center"/>
    </xf>
    <xf numFmtId="2" fontId="5" fillId="9" borderId="0" xfId="3" applyNumberFormat="1" applyFont="1" applyFill="1" applyAlignment="1">
      <alignment horizontal="center"/>
    </xf>
    <xf numFmtId="0" fontId="3" fillId="7" borderId="0" xfId="3" applyFill="1" applyAlignment="1">
      <alignment horizontal="center"/>
    </xf>
    <xf numFmtId="0" fontId="9" fillId="0" borderId="0" xfId="3" applyFont="1" applyAlignment="1">
      <alignment horizontal="right"/>
    </xf>
    <xf numFmtId="171" fontId="3" fillId="0" borderId="0" xfId="3" applyNumberFormat="1" applyAlignment="1">
      <alignment horizontal="center"/>
    </xf>
    <xf numFmtId="171" fontId="3" fillId="7" borderId="0" xfId="3" applyNumberFormat="1" applyFill="1" applyAlignment="1">
      <alignment horizontal="center"/>
    </xf>
    <xf numFmtId="2" fontId="3" fillId="8" borderId="0" xfId="3" applyNumberFormat="1" applyFill="1" applyAlignment="1">
      <alignment horizontal="center"/>
    </xf>
    <xf numFmtId="170" fontId="3" fillId="0" borderId="0" xfId="3" applyNumberFormat="1" applyAlignment="1">
      <alignment horizontal="center"/>
    </xf>
    <xf numFmtId="170" fontId="3" fillId="8" borderId="0" xfId="3" applyNumberFormat="1" applyFill="1" applyAlignment="1">
      <alignment horizontal="center"/>
    </xf>
    <xf numFmtId="0" fontId="11" fillId="0" borderId="0" xfId="3" applyFont="1"/>
    <xf numFmtId="172" fontId="14" fillId="0" borderId="0" xfId="4" applyNumberFormat="1" applyFont="1" applyProtection="1">
      <protection locked="0"/>
    </xf>
    <xf numFmtId="172" fontId="14" fillId="7" borderId="0" xfId="4" applyNumberFormat="1" applyFont="1" applyFill="1" applyProtection="1">
      <protection locked="0"/>
    </xf>
    <xf numFmtId="172" fontId="14" fillId="8" borderId="0" xfId="4" applyNumberFormat="1" applyFont="1" applyFill="1" applyProtection="1">
      <protection locked="0"/>
    </xf>
    <xf numFmtId="0" fontId="11" fillId="0" borderId="4" xfId="3" applyFont="1" applyBorder="1"/>
    <xf numFmtId="171" fontId="9" fillId="0" borderId="4" xfId="3" applyNumberFormat="1" applyFont="1" applyBorder="1"/>
    <xf numFmtId="171" fontId="9" fillId="9" borderId="4" xfId="3" applyNumberFormat="1" applyFont="1" applyFill="1" applyBorder="1"/>
    <xf numFmtId="171" fontId="3" fillId="0" borderId="0" xfId="3" applyNumberFormat="1"/>
    <xf numFmtId="171" fontId="3" fillId="8" borderId="0" xfId="3" applyNumberFormat="1" applyFill="1" applyAlignment="1">
      <alignment horizontal="center"/>
    </xf>
    <xf numFmtId="170" fontId="3" fillId="9" borderId="0" xfId="3" applyNumberFormat="1" applyFill="1" applyAlignment="1">
      <alignment horizontal="center"/>
    </xf>
    <xf numFmtId="0" fontId="15" fillId="0" borderId="0" xfId="3" applyFont="1"/>
    <xf numFmtId="166" fontId="8" fillId="5" borderId="13" xfId="0" applyNumberFormat="1" applyFont="1" applyFill="1" applyBorder="1" applyAlignment="1">
      <alignment horizontal="center"/>
    </xf>
    <xf numFmtId="166" fontId="8" fillId="6" borderId="0" xfId="0" applyNumberFormat="1" applyFont="1" applyFill="1" applyAlignment="1">
      <alignment horizontal="center"/>
    </xf>
    <xf numFmtId="0" fontId="16" fillId="10" borderId="0" xfId="3" applyFont="1" applyFill="1"/>
    <xf numFmtId="0" fontId="17" fillId="10" borderId="0" xfId="3" applyFont="1" applyFill="1"/>
    <xf numFmtId="0" fontId="17" fillId="11" borderId="0" xfId="3" applyFont="1" applyFill="1"/>
    <xf numFmtId="0" fontId="16" fillId="11" borderId="0" xfId="3" applyFont="1" applyFill="1"/>
    <xf numFmtId="0" fontId="17" fillId="12" borderId="0" xfId="3" applyFont="1" applyFill="1"/>
    <xf numFmtId="0" fontId="16" fillId="12" borderId="0" xfId="3" applyFont="1" applyFill="1"/>
    <xf numFmtId="173" fontId="14" fillId="9" borderId="0" xfId="3" applyNumberFormat="1" applyFont="1" applyFill="1" applyAlignment="1">
      <alignment horizontal="center"/>
    </xf>
    <xf numFmtId="171" fontId="3" fillId="9" borderId="0" xfId="3" applyNumberFormat="1" applyFill="1" applyAlignment="1">
      <alignment horizontal="center"/>
    </xf>
    <xf numFmtId="165" fontId="18" fillId="5" borderId="1" xfId="2" applyNumberFormat="1" applyFont="1" applyFill="1" applyBorder="1" applyAlignment="1">
      <alignment horizontal="center" vertical="center"/>
    </xf>
    <xf numFmtId="0" fontId="19" fillId="0" borderId="0" xfId="0" applyFont="1"/>
    <xf numFmtId="2" fontId="0" fillId="0" borderId="1" xfId="0" applyNumberFormat="1" applyBorder="1" applyAlignment="1">
      <alignment horizontal="center"/>
    </xf>
    <xf numFmtId="0" fontId="0" fillId="5" borderId="4" xfId="0" applyFill="1" applyBorder="1" applyAlignment="1">
      <alignment horizontal="center"/>
    </xf>
    <xf numFmtId="171" fontId="0" fillId="0" borderId="0" xfId="0" applyNumberFormat="1" applyAlignment="1">
      <alignment horizontal="center"/>
    </xf>
    <xf numFmtId="171" fontId="0" fillId="0" borderId="0" xfId="0" applyNumberFormat="1"/>
    <xf numFmtId="0" fontId="0" fillId="0" borderId="1" xfId="0" quotePrefix="1" applyBorder="1" applyAlignment="1">
      <alignment horizontal="center"/>
    </xf>
    <xf numFmtId="171" fontId="0" fillId="0" borderId="1" xfId="0" applyNumberFormat="1" applyBorder="1" applyAlignment="1">
      <alignment horizontal="center"/>
    </xf>
    <xf numFmtId="0" fontId="2" fillId="0" borderId="0" xfId="0" applyFont="1"/>
    <xf numFmtId="171" fontId="0" fillId="5" borderId="1" xfId="0" applyNumberFormat="1" applyFill="1" applyBorder="1" applyAlignment="1">
      <alignment horizontal="center"/>
    </xf>
    <xf numFmtId="0" fontId="0" fillId="5" borderId="0" xfId="0" applyFill="1"/>
    <xf numFmtId="0" fontId="0" fillId="5" borderId="7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12" xfId="0" applyFill="1" applyBorder="1" applyAlignment="1">
      <alignment horizontal="center"/>
    </xf>
    <xf numFmtId="2" fontId="20" fillId="0" borderId="0" xfId="0" applyNumberFormat="1" applyFont="1"/>
    <xf numFmtId="1" fontId="21" fillId="6" borderId="0" xfId="0" applyNumberFormat="1" applyFont="1" applyFill="1" applyAlignment="1">
      <alignment horizontal="center"/>
    </xf>
    <xf numFmtId="1" fontId="21" fillId="5" borderId="10" xfId="0" applyNumberFormat="1" applyFont="1" applyFill="1" applyBorder="1" applyAlignment="1">
      <alignment horizontal="center"/>
    </xf>
    <xf numFmtId="1" fontId="21" fillId="5" borderId="7" xfId="0" applyNumberFormat="1" applyFont="1" applyFill="1" applyBorder="1" applyAlignment="1">
      <alignment horizontal="center"/>
    </xf>
    <xf numFmtId="1" fontId="21" fillId="5" borderId="8" xfId="0" applyNumberFormat="1" applyFont="1" applyFill="1" applyBorder="1" applyAlignment="1">
      <alignment horizontal="center"/>
    </xf>
    <xf numFmtId="1" fontId="21" fillId="5" borderId="0" xfId="0" applyNumberFormat="1" applyFont="1" applyFill="1" applyAlignment="1">
      <alignment horizontal="center"/>
    </xf>
    <xf numFmtId="1" fontId="21" fillId="5" borderId="12" xfId="0" applyNumberFormat="1" applyFont="1" applyFill="1" applyBorder="1" applyAlignment="1">
      <alignment horizontal="center"/>
    </xf>
    <xf numFmtId="1" fontId="21" fillId="5" borderId="13" xfId="0" applyNumberFormat="1" applyFont="1" applyFill="1" applyBorder="1" applyAlignment="1">
      <alignment horizontal="center"/>
    </xf>
    <xf numFmtId="1" fontId="21" fillId="6" borderId="7" xfId="0" applyNumberFormat="1" applyFont="1" applyFill="1" applyBorder="1" applyAlignment="1">
      <alignment horizontal="center"/>
    </xf>
    <xf numFmtId="1" fontId="21" fillId="6" borderId="10" xfId="0" applyNumberFormat="1" applyFont="1" applyFill="1" applyBorder="1" applyAlignment="1">
      <alignment horizontal="center"/>
    </xf>
    <xf numFmtId="1" fontId="21" fillId="6" borderId="8" xfId="0" applyNumberFormat="1" applyFont="1" applyFill="1" applyBorder="1" applyAlignment="1">
      <alignment horizontal="center"/>
    </xf>
    <xf numFmtId="1" fontId="21" fillId="6" borderId="12" xfId="0" applyNumberFormat="1" applyFont="1" applyFill="1" applyBorder="1" applyAlignment="1">
      <alignment horizontal="center"/>
    </xf>
    <xf numFmtId="1" fontId="21" fillId="6" borderId="13" xfId="0" applyNumberFormat="1" applyFont="1" applyFill="1" applyBorder="1" applyAlignment="1">
      <alignment horizontal="center"/>
    </xf>
    <xf numFmtId="166" fontId="0" fillId="5" borderId="3" xfId="0" applyNumberFormat="1" applyFill="1" applyBorder="1" applyAlignment="1">
      <alignment horizontal="center"/>
    </xf>
    <xf numFmtId="166" fontId="0" fillId="5" borderId="4" xfId="0" applyNumberFormat="1" applyFill="1" applyBorder="1" applyAlignment="1">
      <alignment horizontal="center"/>
    </xf>
    <xf numFmtId="166" fontId="0" fillId="5" borderId="5" xfId="0" applyNumberFormat="1" applyFill="1" applyBorder="1" applyAlignment="1">
      <alignment horizontal="center"/>
    </xf>
    <xf numFmtId="0" fontId="0" fillId="5" borderId="0" xfId="0" applyFill="1" applyAlignment="1">
      <alignment horizontal="center" vertical="center"/>
    </xf>
    <xf numFmtId="165" fontId="0" fillId="5" borderId="1" xfId="0" applyNumberFormat="1" applyFill="1" applyBorder="1" applyAlignment="1">
      <alignment horizontal="center" vertical="center" wrapText="1"/>
    </xf>
    <xf numFmtId="1" fontId="0" fillId="5" borderId="1" xfId="0" applyNumberFormat="1" applyFill="1" applyBorder="1" applyAlignment="1">
      <alignment horizontal="center" vertical="center"/>
    </xf>
    <xf numFmtId="2" fontId="0" fillId="5" borderId="1" xfId="0" applyNumberFormat="1" applyFill="1" applyBorder="1" applyAlignment="1">
      <alignment horizontal="center" vertical="center" wrapText="1"/>
    </xf>
    <xf numFmtId="165" fontId="0" fillId="5" borderId="1" xfId="2" applyNumberFormat="1" applyFont="1" applyFill="1" applyBorder="1" applyAlignment="1">
      <alignment horizontal="center" vertical="center"/>
    </xf>
    <xf numFmtId="0" fontId="0" fillId="5" borderId="1" xfId="0" quotePrefix="1" applyFill="1" applyBorder="1" applyAlignment="1">
      <alignment horizontal="center" vertical="center" wrapText="1"/>
    </xf>
    <xf numFmtId="0" fontId="0" fillId="5" borderId="17" xfId="0" applyFill="1" applyBorder="1" applyAlignment="1">
      <alignment horizontal="center" vertical="center" wrapText="1"/>
    </xf>
    <xf numFmtId="2" fontId="0" fillId="5" borderId="17" xfId="0" applyNumberFormat="1" applyFill="1" applyBorder="1" applyAlignment="1">
      <alignment horizontal="center" vertical="center" wrapText="1"/>
    </xf>
    <xf numFmtId="0" fontId="22" fillId="5" borderId="3" xfId="0" applyFont="1" applyFill="1" applyBorder="1"/>
    <xf numFmtId="0" fontId="0" fillId="5" borderId="4" xfId="0" applyFill="1" applyBorder="1"/>
    <xf numFmtId="0" fontId="0" fillId="5" borderId="5" xfId="0" applyFill="1" applyBorder="1"/>
    <xf numFmtId="0" fontId="0" fillId="5" borderId="0" xfId="0" applyFill="1" applyAlignment="1">
      <alignment wrapText="1"/>
    </xf>
    <xf numFmtId="3" fontId="0" fillId="5" borderId="1" xfId="0" applyNumberFormat="1" applyFill="1" applyBorder="1" applyAlignment="1">
      <alignment horizontal="center" vertical="center" wrapText="1"/>
    </xf>
    <xf numFmtId="0" fontId="24" fillId="5" borderId="1" xfId="0" applyFont="1" applyFill="1" applyBorder="1" applyAlignment="1">
      <alignment horizontal="center" vertical="center" wrapText="1"/>
    </xf>
    <xf numFmtId="171" fontId="24" fillId="5" borderId="1" xfId="0" applyNumberFormat="1" applyFont="1" applyFill="1" applyBorder="1" applyAlignment="1">
      <alignment horizontal="center" vertical="center" wrapText="1"/>
    </xf>
    <xf numFmtId="0" fontId="0" fillId="5" borderId="0" xfId="0" applyFill="1" applyAlignment="1">
      <alignment horizontal="left"/>
    </xf>
    <xf numFmtId="0" fontId="27" fillId="5" borderId="0" xfId="0" applyFont="1" applyFill="1"/>
    <xf numFmtId="0" fontId="26" fillId="5" borderId="0" xfId="0" applyFont="1" applyFill="1"/>
    <xf numFmtId="0" fontId="21" fillId="5" borderId="1" xfId="0" applyFont="1" applyFill="1" applyBorder="1" applyAlignment="1">
      <alignment horizontal="center" wrapText="1"/>
    </xf>
    <xf numFmtId="0" fontId="0" fillId="4" borderId="0" xfId="0" applyFill="1"/>
    <xf numFmtId="0" fontId="0" fillId="16" borderId="0" xfId="0" applyFill="1"/>
    <xf numFmtId="2" fontId="0" fillId="16" borderId="1" xfId="0" applyNumberFormat="1" applyFill="1" applyBorder="1" applyAlignment="1">
      <alignment horizontal="center"/>
    </xf>
    <xf numFmtId="3" fontId="0" fillId="5" borderId="3" xfId="2" applyNumberFormat="1" applyFont="1" applyFill="1" applyBorder="1" applyAlignment="1">
      <alignment horizontal="center"/>
    </xf>
    <xf numFmtId="3" fontId="0" fillId="5" borderId="4" xfId="2" applyNumberFormat="1" applyFont="1" applyFill="1" applyBorder="1" applyAlignment="1">
      <alignment horizontal="center"/>
    </xf>
    <xf numFmtId="3" fontId="0" fillId="5" borderId="5" xfId="2" applyNumberFormat="1" applyFont="1" applyFill="1" applyBorder="1" applyAlignment="1">
      <alignment horizontal="center"/>
    </xf>
    <xf numFmtId="0" fontId="1" fillId="5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wrapText="1"/>
    </xf>
    <xf numFmtId="0" fontId="5" fillId="5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 wrapText="1"/>
    </xf>
    <xf numFmtId="0" fontId="4" fillId="5" borderId="3" xfId="0" applyFont="1" applyFill="1" applyBorder="1" applyAlignment="1">
      <alignment horizontal="center"/>
    </xf>
    <xf numFmtId="0" fontId="4" fillId="5" borderId="4" xfId="0" applyFont="1" applyFill="1" applyBorder="1" applyAlignment="1">
      <alignment horizontal="center"/>
    </xf>
    <xf numFmtId="0" fontId="4" fillId="5" borderId="5" xfId="0" applyFont="1" applyFill="1" applyBorder="1" applyAlignment="1">
      <alignment horizontal="center"/>
    </xf>
    <xf numFmtId="3" fontId="4" fillId="5" borderId="3" xfId="0" applyNumberFormat="1" applyFont="1" applyFill="1" applyBorder="1" applyAlignment="1">
      <alignment horizontal="center"/>
    </xf>
    <xf numFmtId="3" fontId="4" fillId="5" borderId="4" xfId="0" applyNumberFormat="1" applyFont="1" applyFill="1" applyBorder="1" applyAlignment="1">
      <alignment horizontal="center"/>
    </xf>
    <xf numFmtId="3" fontId="4" fillId="5" borderId="5" xfId="0" applyNumberFormat="1" applyFont="1" applyFill="1" applyBorder="1" applyAlignment="1">
      <alignment horizontal="center"/>
    </xf>
    <xf numFmtId="0" fontId="0" fillId="13" borderId="1" xfId="0" applyFill="1" applyBorder="1" applyAlignment="1">
      <alignment horizontal="center"/>
    </xf>
    <xf numFmtId="0" fontId="0" fillId="14" borderId="1" xfId="0" applyFill="1" applyBorder="1" applyAlignment="1">
      <alignment horizontal="center"/>
    </xf>
    <xf numFmtId="0" fontId="0" fillId="5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0" fontId="0" fillId="5" borderId="3" xfId="0" applyFill="1" applyBorder="1" applyAlignment="1">
      <alignment horizontal="center"/>
    </xf>
    <xf numFmtId="0" fontId="0" fillId="5" borderId="4" xfId="0" applyFill="1" applyBorder="1" applyAlignment="1">
      <alignment horizontal="center"/>
    </xf>
    <xf numFmtId="0" fontId="0" fillId="5" borderId="5" xfId="0" applyFill="1" applyBorder="1" applyAlignment="1">
      <alignment horizontal="center"/>
    </xf>
    <xf numFmtId="0" fontId="0" fillId="5" borderId="3" xfId="0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5" borderId="5" xfId="0" applyFill="1" applyBorder="1" applyAlignment="1">
      <alignment horizontal="center" vertical="center"/>
    </xf>
    <xf numFmtId="0" fontId="2" fillId="5" borderId="6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6" borderId="6" xfId="0" applyFont="1" applyFill="1" applyBorder="1" applyAlignment="1">
      <alignment horizontal="center" vertical="center"/>
    </xf>
    <xf numFmtId="0" fontId="2" fillId="6" borderId="9" xfId="0" applyFont="1" applyFill="1" applyBorder="1" applyAlignment="1">
      <alignment horizontal="center" vertical="center"/>
    </xf>
    <xf numFmtId="0" fontId="2" fillId="6" borderId="11" xfId="0" applyFont="1" applyFill="1" applyBorder="1" applyAlignment="1">
      <alignment horizontal="center" vertical="center"/>
    </xf>
  </cellXfs>
  <cellStyles count="5">
    <cellStyle name="Normal" xfId="0" builtinId="0"/>
    <cellStyle name="Normal 2" xfId="3" xr:uid="{2A55A5B2-6932-814C-97D3-B56D8D1EFB3B}"/>
    <cellStyle name="Porcentagem" xfId="2" builtinId="5"/>
    <cellStyle name="Vírgula" xfId="1" builtinId="3"/>
    <cellStyle name="Vírgula 3" xfId="4" xr:uid="{0D3184BB-2CBE-1044-9398-BE0F719A337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PPR Funcionarias publicas PNDS 2006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parity!$S$23:$S$26</c:f>
              <c:numCache>
                <c:formatCode>0.00</c:formatCode>
                <c:ptCount val="4"/>
                <c:pt idx="0">
                  <c:v>0.72433627100479414</c:v>
                </c:pt>
                <c:pt idx="1">
                  <c:v>0.73951631021292286</c:v>
                </c:pt>
                <c:pt idx="2">
                  <c:v>0.34823848804071117</c:v>
                </c:pt>
                <c:pt idx="3">
                  <c:v>0.34445202695129656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AF-6642-86FF-C9E924A272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8668992"/>
        <c:axId val="808669952"/>
      </c:lineChart>
      <c:catAx>
        <c:axId val="80866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8669952"/>
        <c:crosses val="autoZero"/>
        <c:auto val="1"/>
        <c:lblAlgn val="ctr"/>
        <c:lblOffset val="100"/>
        <c:noMultiLvlLbl val="0"/>
      </c:catAx>
      <c:valAx>
        <c:axId val="808669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866899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PPR Funcionarias publicas PNDS 2006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rgbClr val="FF0000"/>
              </a:solidFill>
              <a:prstDash val="sysDash"/>
              <a:round/>
            </a:ln>
            <a:effectLst/>
          </c:spPr>
          <c:marker>
            <c:symbol val="none"/>
          </c:marker>
          <c:val>
            <c:numRef>
              <c:f>parity!$S$23:$S$26</c:f>
              <c:numCache>
                <c:formatCode>0.00</c:formatCode>
                <c:ptCount val="4"/>
                <c:pt idx="0">
                  <c:v>0.72433627100479414</c:v>
                </c:pt>
                <c:pt idx="1">
                  <c:v>0.73951631021292286</c:v>
                </c:pt>
                <c:pt idx="2">
                  <c:v>0.34823848804071117</c:v>
                </c:pt>
                <c:pt idx="3">
                  <c:v>0.34445202695129656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01A-0B40-BBD9-F86E930F1EA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808668992"/>
        <c:axId val="808669952"/>
      </c:lineChart>
      <c:catAx>
        <c:axId val="8086689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8669952"/>
        <c:crosses val="autoZero"/>
        <c:auto val="1"/>
        <c:lblAlgn val="ctr"/>
        <c:lblOffset val="100"/>
        <c:noMultiLvlLbl val="0"/>
      </c:catAx>
      <c:valAx>
        <c:axId val="808669952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808668992"/>
        <c:crosses val="autoZero"/>
        <c:crossBetween val="between"/>
      </c:valAx>
    </c:plotArea>
    <c:plotVisOnly val="1"/>
    <c:dispBlanksAs val="gap"/>
    <c:showDLblsOverMax val="0"/>
    <c:extLst/>
  </c:chart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'PPR tidos'!$J$13</c:f>
              <c:strCache>
                <c:ptCount val="1"/>
                <c:pt idx="0">
                  <c:v>PPR_mu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'PPR tidos'!$J$14:$J$17</c:f>
              <c:numCache>
                <c:formatCode>0.000</c:formatCode>
                <c:ptCount val="4"/>
                <c:pt idx="0">
                  <c:v>0.8863531</c:v>
                </c:pt>
                <c:pt idx="1">
                  <c:v>0.81401869999999998</c:v>
                </c:pt>
                <c:pt idx="2">
                  <c:v>0.55651240000000002</c:v>
                </c:pt>
                <c:pt idx="3">
                  <c:v>0.5045849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668-3D46-80EF-07C72885CE77}"/>
            </c:ext>
          </c:extLst>
        </c:ser>
        <c:ser>
          <c:idx val="1"/>
          <c:order val="1"/>
          <c:tx>
            <c:strRef>
              <c:f>'PPR tidos'!$J$31</c:f>
              <c:strCache>
                <c:ptCount val="1"/>
                <c:pt idx="0">
                  <c:v>PPR_pub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'PPR tidos'!$J$32:$J$35</c:f>
              <c:numCache>
                <c:formatCode>0.000</c:formatCode>
                <c:ptCount val="4"/>
                <c:pt idx="0">
                  <c:v>0.72433630000000004</c:v>
                </c:pt>
                <c:pt idx="1">
                  <c:v>0.73951630000000002</c:v>
                </c:pt>
                <c:pt idx="2">
                  <c:v>0.34823850000000001</c:v>
                </c:pt>
                <c:pt idx="3">
                  <c:v>0.34445199999999998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668-3D46-80EF-07C72885CE77}"/>
            </c:ext>
          </c:extLst>
        </c:ser>
        <c:ser>
          <c:idx val="2"/>
          <c:order val="2"/>
          <c:tx>
            <c:strRef>
              <c:f>'PPR tidos'!$J$49</c:f>
              <c:strCache>
                <c:ptCount val="1"/>
                <c:pt idx="0">
                  <c:v>PPR_yes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'PPR tidos'!$J$50:$J$53</c:f>
              <c:numCache>
                <c:formatCode>0.000</c:formatCode>
                <c:ptCount val="4"/>
                <c:pt idx="0">
                  <c:v>0.86516029999999999</c:v>
                </c:pt>
                <c:pt idx="1">
                  <c:v>0.74758829999999998</c:v>
                </c:pt>
                <c:pt idx="2">
                  <c:v>0.46022000000000002</c:v>
                </c:pt>
                <c:pt idx="3">
                  <c:v>0.37233650000000001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668-3D46-80EF-07C72885CE77}"/>
            </c:ext>
          </c:extLst>
        </c:ser>
        <c:ser>
          <c:idx val="3"/>
          <c:order val="3"/>
          <c:tx>
            <c:strRef>
              <c:f>'PPR tidos'!$J$67</c:f>
              <c:strCache>
                <c:ptCount val="1"/>
                <c:pt idx="0">
                  <c:v>PPR_no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'PPR tidos'!$J$68:$J$71</c:f>
              <c:numCache>
                <c:formatCode>0.000</c:formatCode>
                <c:ptCount val="4"/>
                <c:pt idx="0">
                  <c:v>0.88956579999999996</c:v>
                </c:pt>
                <c:pt idx="1">
                  <c:v>0.84172449999999999</c:v>
                </c:pt>
                <c:pt idx="2">
                  <c:v>0.60905180000000003</c:v>
                </c:pt>
                <c:pt idx="3">
                  <c:v>0.51045859999999998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668-3D46-80EF-07C72885CE7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09408"/>
        <c:axId val="99765152"/>
      </c:lineChart>
      <c:catAx>
        <c:axId val="202309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765152"/>
        <c:crosses val="autoZero"/>
        <c:auto val="1"/>
        <c:lblAlgn val="ctr"/>
        <c:lblOffset val="100"/>
        <c:noMultiLvlLbl val="0"/>
      </c:catAx>
      <c:valAx>
        <c:axId val="997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30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'PPR tidos'!$J$13</c:f>
              <c:strCache>
                <c:ptCount val="1"/>
                <c:pt idx="0">
                  <c:v>PPR_mu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'PPR tidos'!$C$18:$C$21</c:f>
              <c:numCache>
                <c:formatCode>0.000</c:formatCode>
                <c:ptCount val="4"/>
                <c:pt idx="0">
                  <c:v>0.86557030000000001</c:v>
                </c:pt>
                <c:pt idx="1">
                  <c:v>0.83510479999999998</c:v>
                </c:pt>
                <c:pt idx="2">
                  <c:v>0.60155550000000002</c:v>
                </c:pt>
                <c:pt idx="3">
                  <c:v>0.55748569999999997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332-E142-8525-1B1DF52ABC64}"/>
            </c:ext>
          </c:extLst>
        </c:ser>
        <c:ser>
          <c:idx val="1"/>
          <c:order val="1"/>
          <c:tx>
            <c:strRef>
              <c:f>'PPR tidos'!$J$31</c:f>
              <c:strCache>
                <c:ptCount val="1"/>
                <c:pt idx="0">
                  <c:v>PPR_pub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'PPR tidos'!$C$39:$C$42</c:f>
              <c:numCache>
                <c:formatCode>0.000</c:formatCode>
                <c:ptCount val="4"/>
                <c:pt idx="0">
                  <c:v>0.65221010000000001</c:v>
                </c:pt>
                <c:pt idx="1">
                  <c:v>0.60905889999999996</c:v>
                </c:pt>
                <c:pt idx="2">
                  <c:v>0.44544850000000002</c:v>
                </c:pt>
                <c:pt idx="3">
                  <c:v>0.46658660000000002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332-E142-8525-1B1DF52ABC64}"/>
            </c:ext>
          </c:extLst>
        </c:ser>
        <c:ser>
          <c:idx val="2"/>
          <c:order val="2"/>
          <c:tx>
            <c:strRef>
              <c:f>'PPR tidos'!$J$49</c:f>
              <c:strCache>
                <c:ptCount val="1"/>
                <c:pt idx="0">
                  <c:v>PPR_yes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'PPR tidos'!$C$60:$C$63</c:f>
              <c:numCache>
                <c:formatCode>0.000</c:formatCode>
                <c:ptCount val="4"/>
                <c:pt idx="0">
                  <c:v>0.85078220000000004</c:v>
                </c:pt>
                <c:pt idx="1">
                  <c:v>0.82461470000000003</c:v>
                </c:pt>
                <c:pt idx="2">
                  <c:v>0.50185329999999995</c:v>
                </c:pt>
                <c:pt idx="3">
                  <c:v>0.417298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332-E142-8525-1B1DF52ABC64}"/>
            </c:ext>
          </c:extLst>
        </c:ser>
        <c:ser>
          <c:idx val="3"/>
          <c:order val="3"/>
          <c:tx>
            <c:strRef>
              <c:f>'PPR tidos'!$J$67</c:f>
              <c:strCache>
                <c:ptCount val="1"/>
                <c:pt idx="0">
                  <c:v>PPR_no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'PPR tidos'!$C$81:$C$84</c:f>
              <c:numCache>
                <c:formatCode>0.000</c:formatCode>
                <c:ptCount val="4"/>
                <c:pt idx="0">
                  <c:v>0.86958049999999998</c:v>
                </c:pt>
                <c:pt idx="1">
                  <c:v>0.82812330000000001</c:v>
                </c:pt>
                <c:pt idx="2">
                  <c:v>0.67159950000000002</c:v>
                </c:pt>
                <c:pt idx="3">
                  <c:v>0.59821550000000001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332-E142-8525-1B1DF52ABC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09408"/>
        <c:axId val="99765152"/>
      </c:lineChart>
      <c:catAx>
        <c:axId val="202309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765152"/>
        <c:crosses val="autoZero"/>
        <c:auto val="1"/>
        <c:lblAlgn val="ctr"/>
        <c:lblOffset val="100"/>
        <c:noMultiLvlLbl val="0"/>
      </c:catAx>
      <c:valAx>
        <c:axId val="997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30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'PPR tidos'!$J$13</c:f>
              <c:strCache>
                <c:ptCount val="1"/>
                <c:pt idx="0">
                  <c:v>PPR_mu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'PPR tidos'!$Q$13:$Q$16</c:f>
              <c:numCache>
                <c:formatCode>0.000</c:formatCode>
                <c:ptCount val="4"/>
                <c:pt idx="0">
                  <c:v>0.87853590000000004</c:v>
                </c:pt>
                <c:pt idx="1">
                  <c:v>0.78766080000000005</c:v>
                </c:pt>
                <c:pt idx="2">
                  <c:v>0.53037330000000005</c:v>
                </c:pt>
                <c:pt idx="3">
                  <c:v>0.48530479999999998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74F-BE41-8EC7-B67E1AC83902}"/>
            </c:ext>
          </c:extLst>
        </c:ser>
        <c:ser>
          <c:idx val="1"/>
          <c:order val="1"/>
          <c:tx>
            <c:strRef>
              <c:f>'PPR tidos'!$J$31</c:f>
              <c:strCache>
                <c:ptCount val="1"/>
                <c:pt idx="0">
                  <c:v>PPR_pub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'PPR tidos'!$Q$30:$Q$33</c:f>
              <c:numCache>
                <c:formatCode>0.000</c:formatCode>
                <c:ptCount val="4"/>
                <c:pt idx="0">
                  <c:v>0.71776260000000003</c:v>
                </c:pt>
                <c:pt idx="1">
                  <c:v>0.68629269999999998</c:v>
                </c:pt>
                <c:pt idx="2">
                  <c:v>0.36064950000000001</c:v>
                </c:pt>
                <c:pt idx="3">
                  <c:v>0.31793979999999999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874F-BE41-8EC7-B67E1AC83902}"/>
            </c:ext>
          </c:extLst>
        </c:ser>
        <c:ser>
          <c:idx val="2"/>
          <c:order val="2"/>
          <c:tx>
            <c:strRef>
              <c:f>'PPR tidos'!$J$49</c:f>
              <c:strCache>
                <c:ptCount val="1"/>
                <c:pt idx="0">
                  <c:v>PPR_yes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'PPR tidos'!$Q$47:$Q$50</c:f>
              <c:numCache>
                <c:formatCode>0.000</c:formatCode>
                <c:ptCount val="4"/>
                <c:pt idx="0">
                  <c:v>0.83114650000000001</c:v>
                </c:pt>
                <c:pt idx="1">
                  <c:v>0.72834670000000001</c:v>
                </c:pt>
                <c:pt idx="2">
                  <c:v>0.42310239999999999</c:v>
                </c:pt>
                <c:pt idx="3">
                  <c:v>0.36639650000000001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74F-BE41-8EC7-B67E1AC83902}"/>
            </c:ext>
          </c:extLst>
        </c:ser>
        <c:ser>
          <c:idx val="3"/>
          <c:order val="3"/>
          <c:tx>
            <c:strRef>
              <c:f>'PPR tidos'!$J$67</c:f>
              <c:strCache>
                <c:ptCount val="1"/>
                <c:pt idx="0">
                  <c:v>PPR_no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'PPR tidos'!$Q$64:$Q$67</c:f>
              <c:numCache>
                <c:formatCode>0.000</c:formatCode>
                <c:ptCount val="4"/>
                <c:pt idx="0">
                  <c:v>0.89474220000000004</c:v>
                </c:pt>
                <c:pt idx="1">
                  <c:v>0.81228869999999997</c:v>
                </c:pt>
                <c:pt idx="2">
                  <c:v>0.56369139999999995</c:v>
                </c:pt>
                <c:pt idx="3">
                  <c:v>0.48917939999999999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874F-BE41-8EC7-B67E1AC839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2309408"/>
        <c:axId val="99765152"/>
      </c:lineChart>
      <c:catAx>
        <c:axId val="202309408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9765152"/>
        <c:crosses val="autoZero"/>
        <c:auto val="1"/>
        <c:lblAlgn val="ctr"/>
        <c:lblOffset val="100"/>
        <c:noMultiLvlLbl val="0"/>
      </c:catAx>
      <c:valAx>
        <c:axId val="997651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23094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Tidos</a:t>
            </a:r>
            <a:r>
              <a:rPr lang="pt-BR" baseline="0"/>
              <a:t> e desejados, func publics, 35-49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'PPR tidos'!$C$80</c:f>
              <c:strCache>
                <c:ptCount val="1"/>
                <c:pt idx="0">
                  <c:v>tidos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'PPR tidos'!$Q$30:$Q$33</c:f>
              <c:numCache>
                <c:formatCode>0.000</c:formatCode>
                <c:ptCount val="4"/>
                <c:pt idx="0">
                  <c:v>0.71776260000000003</c:v>
                </c:pt>
                <c:pt idx="1">
                  <c:v>0.68629269999999998</c:v>
                </c:pt>
                <c:pt idx="2">
                  <c:v>0.36064950000000001</c:v>
                </c:pt>
                <c:pt idx="3">
                  <c:v>0.31793979999999999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82-6941-B0F8-B4D6DB99C7CD}"/>
            </c:ext>
          </c:extLst>
        </c:ser>
        <c:ser>
          <c:idx val="0"/>
          <c:order val="1"/>
          <c:tx>
            <c:v>desejados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'PPR desejados'!$Q$30:$Q$33</c:f>
              <c:numCache>
                <c:formatCode>General</c:formatCode>
                <c:ptCount val="4"/>
                <c:pt idx="0">
                  <c:v>0.91541609999999995</c:v>
                </c:pt>
                <c:pt idx="1">
                  <c:v>0.83104290000000003</c:v>
                </c:pt>
                <c:pt idx="2">
                  <c:v>0.36779070000000003</c:v>
                </c:pt>
                <c:pt idx="3">
                  <c:v>0.37775199999999998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D82-6941-B0F8-B4D6DB99C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348816"/>
        <c:axId val="1812350528"/>
      </c:lineChart>
      <c:catAx>
        <c:axId val="1812348816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2350528"/>
        <c:crosses val="autoZero"/>
        <c:auto val="1"/>
        <c:lblAlgn val="ctr"/>
        <c:lblOffset val="100"/>
        <c:noMultiLvlLbl val="0"/>
      </c:catAx>
      <c:valAx>
        <c:axId val="18123505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2348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'PPR desejados'!$C$16</c:f>
              <c:strCache>
                <c:ptCount val="1"/>
                <c:pt idx="0">
                  <c:v>PPR_mu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'PPR desejados'!$C$17:$C$20</c:f>
              <c:numCache>
                <c:formatCode>General</c:formatCode>
                <c:ptCount val="4"/>
                <c:pt idx="0">
                  <c:v>0.92065249999999998</c:v>
                </c:pt>
                <c:pt idx="1">
                  <c:v>0.85147689999999998</c:v>
                </c:pt>
                <c:pt idx="2">
                  <c:v>0.46114870000000002</c:v>
                </c:pt>
                <c:pt idx="3">
                  <c:v>0.51503690000000002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F6-5846-A297-3526571F9EA3}"/>
            </c:ext>
          </c:extLst>
        </c:ser>
        <c:ser>
          <c:idx val="1"/>
          <c:order val="1"/>
          <c:tx>
            <c:strRef>
              <c:f>'PPR desejados'!$C$37</c:f>
              <c:strCache>
                <c:ptCount val="1"/>
                <c:pt idx="0">
                  <c:v>PPR_pub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'PPR desejados'!$C$38:$C$41</c:f>
              <c:numCache>
                <c:formatCode>General</c:formatCode>
                <c:ptCount val="4"/>
                <c:pt idx="0">
                  <c:v>0.89841159999999998</c:v>
                </c:pt>
                <c:pt idx="1">
                  <c:v>0.81388170000000004</c:v>
                </c:pt>
                <c:pt idx="2">
                  <c:v>0.33330779999999999</c:v>
                </c:pt>
                <c:pt idx="3">
                  <c:v>0.38963370000000003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BF6-5846-A297-3526571F9EA3}"/>
            </c:ext>
          </c:extLst>
        </c:ser>
        <c:ser>
          <c:idx val="2"/>
          <c:order val="2"/>
          <c:tx>
            <c:strRef>
              <c:f>'PPR desejados'!$C$58</c:f>
              <c:strCache>
                <c:ptCount val="1"/>
                <c:pt idx="0">
                  <c:v>PPR_yes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'PPR desejados'!$C$59:$C$62</c:f>
              <c:numCache>
                <c:formatCode>General</c:formatCode>
                <c:ptCount val="4"/>
                <c:pt idx="0">
                  <c:v>0.8794727</c:v>
                </c:pt>
                <c:pt idx="1">
                  <c:v>0.87145249999999996</c:v>
                </c:pt>
                <c:pt idx="2">
                  <c:v>0.34506550000000002</c:v>
                </c:pt>
                <c:pt idx="3">
                  <c:v>0.42740600000000001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BF6-5846-A297-3526571F9EA3}"/>
            </c:ext>
          </c:extLst>
        </c:ser>
        <c:ser>
          <c:idx val="3"/>
          <c:order val="3"/>
          <c:tx>
            <c:strRef>
              <c:f>'PPR desejados'!$C$79</c:f>
              <c:strCache>
                <c:ptCount val="1"/>
                <c:pt idx="0">
                  <c:v>PPR_no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'PPR desejados'!$C$80:$C$83</c:f>
              <c:numCache>
                <c:formatCode>General</c:formatCode>
                <c:ptCount val="4"/>
                <c:pt idx="0">
                  <c:v>0.92720979999999997</c:v>
                </c:pt>
                <c:pt idx="1">
                  <c:v>0.85927100000000001</c:v>
                </c:pt>
                <c:pt idx="2">
                  <c:v>0.52526360000000005</c:v>
                </c:pt>
                <c:pt idx="3">
                  <c:v>0.52968590000000004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BF6-5846-A297-3526571F9EA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800944"/>
        <c:axId val="1812802656"/>
      </c:lineChart>
      <c:catAx>
        <c:axId val="1812800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2802656"/>
        <c:crosses val="autoZero"/>
        <c:auto val="1"/>
        <c:lblAlgn val="ctr"/>
        <c:lblOffset val="100"/>
        <c:noMultiLvlLbl val="0"/>
      </c:catAx>
      <c:valAx>
        <c:axId val="181280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280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'PPR desejados'!$C$16</c:f>
              <c:strCache>
                <c:ptCount val="1"/>
                <c:pt idx="0">
                  <c:v>PPR_mu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'PPR desejados'!$J$14:$J$17</c:f>
              <c:numCache>
                <c:formatCode>General</c:formatCode>
                <c:ptCount val="4"/>
                <c:pt idx="0">
                  <c:v>0.93207150000000005</c:v>
                </c:pt>
                <c:pt idx="1">
                  <c:v>0.85715909999999995</c:v>
                </c:pt>
                <c:pt idx="2">
                  <c:v>0.44656820000000003</c:v>
                </c:pt>
                <c:pt idx="3">
                  <c:v>0.47935810000000001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C89-2944-8B54-3782A541B764}"/>
            </c:ext>
          </c:extLst>
        </c:ser>
        <c:ser>
          <c:idx val="1"/>
          <c:order val="1"/>
          <c:tx>
            <c:strRef>
              <c:f>'PPR desejados'!$C$37</c:f>
              <c:strCache>
                <c:ptCount val="1"/>
                <c:pt idx="0">
                  <c:v>PPR_pub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'PPR desejados'!$J$32:$J$35</c:f>
              <c:numCache>
                <c:formatCode>General</c:formatCode>
                <c:ptCount val="4"/>
                <c:pt idx="0">
                  <c:v>0.92383990000000005</c:v>
                </c:pt>
                <c:pt idx="1">
                  <c:v>0.85689219999999999</c:v>
                </c:pt>
                <c:pt idx="2">
                  <c:v>0.3585101</c:v>
                </c:pt>
                <c:pt idx="3">
                  <c:v>0.45503510000000003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C89-2944-8B54-3782A541B764}"/>
            </c:ext>
          </c:extLst>
        </c:ser>
        <c:ser>
          <c:idx val="2"/>
          <c:order val="2"/>
          <c:tx>
            <c:strRef>
              <c:f>'PPR desejados'!$C$58</c:f>
              <c:strCache>
                <c:ptCount val="1"/>
                <c:pt idx="0">
                  <c:v>PPR_yes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'PPR desejados'!$J$50:$J$53</c:f>
              <c:numCache>
                <c:formatCode>General</c:formatCode>
                <c:ptCount val="4"/>
                <c:pt idx="0">
                  <c:v>0.91090970000000004</c:v>
                </c:pt>
                <c:pt idx="1">
                  <c:v>0.84941049999999996</c:v>
                </c:pt>
                <c:pt idx="2">
                  <c:v>0.3920651</c:v>
                </c:pt>
                <c:pt idx="3">
                  <c:v>0.43648110000000001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C89-2944-8B54-3782A541B764}"/>
            </c:ext>
          </c:extLst>
        </c:ser>
        <c:ser>
          <c:idx val="3"/>
          <c:order val="3"/>
          <c:tx>
            <c:strRef>
              <c:f>'PPR desejados'!$C$79</c:f>
              <c:strCache>
                <c:ptCount val="1"/>
                <c:pt idx="0">
                  <c:v>PPR_no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'PPR desejados'!$J$68:$J$71</c:f>
              <c:numCache>
                <c:formatCode>General</c:formatCode>
                <c:ptCount val="4"/>
                <c:pt idx="0">
                  <c:v>0.93253079999999999</c:v>
                </c:pt>
                <c:pt idx="1">
                  <c:v>0.86261049999999995</c:v>
                </c:pt>
                <c:pt idx="2">
                  <c:v>0.47560249999999998</c:v>
                </c:pt>
                <c:pt idx="3">
                  <c:v>0.48326010000000003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C89-2944-8B54-3782A541B76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800944"/>
        <c:axId val="1812802656"/>
      </c:lineChart>
      <c:catAx>
        <c:axId val="1812800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2802656"/>
        <c:crosses val="autoZero"/>
        <c:auto val="1"/>
        <c:lblAlgn val="ctr"/>
        <c:lblOffset val="100"/>
        <c:noMultiLvlLbl val="0"/>
      </c:catAx>
      <c:valAx>
        <c:axId val="181280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280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'PPR desejados'!$C$16</c:f>
              <c:strCache>
                <c:ptCount val="1"/>
                <c:pt idx="0">
                  <c:v>PPR_mu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'PPR desejados'!$Q$13:$Q$16</c:f>
              <c:numCache>
                <c:formatCode>General</c:formatCode>
                <c:ptCount val="4"/>
                <c:pt idx="0">
                  <c:v>0.9313593</c:v>
                </c:pt>
                <c:pt idx="1">
                  <c:v>0.85275710000000005</c:v>
                </c:pt>
                <c:pt idx="2">
                  <c:v>0.421292</c:v>
                </c:pt>
                <c:pt idx="3">
                  <c:v>0.4443761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F36-9849-8CA6-D9CE59F3CF88}"/>
            </c:ext>
          </c:extLst>
        </c:ser>
        <c:ser>
          <c:idx val="1"/>
          <c:order val="1"/>
          <c:tx>
            <c:strRef>
              <c:f>'PPR desejados'!$C$37</c:f>
              <c:strCache>
                <c:ptCount val="1"/>
                <c:pt idx="0">
                  <c:v>PPR_pub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'PPR desejados'!$Q$30:$Q$33</c:f>
              <c:numCache>
                <c:formatCode>General</c:formatCode>
                <c:ptCount val="4"/>
                <c:pt idx="0">
                  <c:v>0.91541609999999995</c:v>
                </c:pt>
                <c:pt idx="1">
                  <c:v>0.83104290000000003</c:v>
                </c:pt>
                <c:pt idx="2">
                  <c:v>0.36779070000000003</c:v>
                </c:pt>
                <c:pt idx="3">
                  <c:v>0.37775199999999998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F36-9849-8CA6-D9CE59F3CF88}"/>
            </c:ext>
          </c:extLst>
        </c:ser>
        <c:ser>
          <c:idx val="2"/>
          <c:order val="2"/>
          <c:tx>
            <c:strRef>
              <c:f>'PPR desejados'!$C$58</c:f>
              <c:strCache>
                <c:ptCount val="1"/>
                <c:pt idx="0">
                  <c:v>PPR_yes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'PPR desejados'!$Q$47:$Q$50</c:f>
              <c:numCache>
                <c:formatCode>General</c:formatCode>
                <c:ptCount val="4"/>
                <c:pt idx="0">
                  <c:v>0.92202039999999996</c:v>
                </c:pt>
                <c:pt idx="1">
                  <c:v>0.84959890000000005</c:v>
                </c:pt>
                <c:pt idx="2">
                  <c:v>0.34400819999999999</c:v>
                </c:pt>
                <c:pt idx="3">
                  <c:v>0.420074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F36-9849-8CA6-D9CE59F3CF88}"/>
            </c:ext>
          </c:extLst>
        </c:ser>
        <c:ser>
          <c:idx val="3"/>
          <c:order val="3"/>
          <c:tx>
            <c:strRef>
              <c:f>'PPR desejados'!$C$79</c:f>
              <c:strCache>
                <c:ptCount val="1"/>
                <c:pt idx="0">
                  <c:v>PPR_no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'PPR desejados'!$Q$64:$Q$67</c:f>
              <c:numCache>
                <c:formatCode>General</c:formatCode>
                <c:ptCount val="4"/>
                <c:pt idx="0">
                  <c:v>0.9278961</c:v>
                </c:pt>
                <c:pt idx="1">
                  <c:v>0.86140629999999996</c:v>
                </c:pt>
                <c:pt idx="2">
                  <c:v>0.44109890000000002</c:v>
                </c:pt>
                <c:pt idx="3">
                  <c:v>0.436025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F36-9849-8CA6-D9CE59F3CF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12800944"/>
        <c:axId val="1812802656"/>
      </c:lineChart>
      <c:catAx>
        <c:axId val="1812800944"/>
        <c:scaling>
          <c:orientation val="minMax"/>
        </c:scaling>
        <c:delete val="0"/>
        <c:axPos val="b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2802656"/>
        <c:crosses val="autoZero"/>
        <c:auto val="1"/>
        <c:lblAlgn val="ctr"/>
        <c:lblOffset val="100"/>
        <c:noMultiLvlLbl val="0"/>
      </c:catAx>
      <c:valAx>
        <c:axId val="181280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8128009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number of desired and actual children, by age group, all women, PNDS 2006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resumo!$N$24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resumo!$O$22:$T$22</c:f>
              <c:strCache>
                <c:ptCount val="6"/>
                <c:pt idx="0">
                  <c:v>&lt;20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</c:strCache>
            </c:strRef>
          </c:cat>
          <c:val>
            <c:numRef>
              <c:f>resumo!$O$24:$T$24</c:f>
              <c:numCache>
                <c:formatCode>0.00</c:formatCode>
                <c:ptCount val="6"/>
                <c:pt idx="0">
                  <c:v>0.18578847202440402</c:v>
                </c:pt>
                <c:pt idx="1">
                  <c:v>0.74276584154069103</c:v>
                </c:pt>
                <c:pt idx="2">
                  <c:v>1.2707499399092248</c:v>
                </c:pt>
                <c:pt idx="3">
                  <c:v>1.811645147009548</c:v>
                </c:pt>
                <c:pt idx="4">
                  <c:v>2.0568046739771071</c:v>
                </c:pt>
                <c:pt idx="5">
                  <c:v>2.3819343759479841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FF8-A741-83D4-E7C85C5ECCED}"/>
            </c:ext>
          </c:extLst>
        </c:ser>
        <c:ser>
          <c:idx val="0"/>
          <c:order val="1"/>
          <c:tx>
            <c:strRef>
              <c:f>resumo!$N$23</c:f>
              <c:strCache>
                <c:ptCount val="1"/>
                <c:pt idx="0">
                  <c:v>Mean intended number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resumo!$O$22:$T$22</c:f>
              <c:strCache>
                <c:ptCount val="6"/>
                <c:pt idx="0">
                  <c:v>&lt;20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</c:strCache>
            </c:strRef>
          </c:cat>
          <c:val>
            <c:numRef>
              <c:f>resumo!$O$23:$T$23</c:f>
              <c:numCache>
                <c:formatCode>0.00</c:formatCode>
                <c:ptCount val="6"/>
                <c:pt idx="0">
                  <c:v>1.8666803732061252</c:v>
                </c:pt>
                <c:pt idx="1">
                  <c:v>1.9202250561249037</c:v>
                </c:pt>
                <c:pt idx="2">
                  <c:v>2.0861797500603574</c:v>
                </c:pt>
                <c:pt idx="3">
                  <c:v>2.204097613626042</c:v>
                </c:pt>
                <c:pt idx="4">
                  <c:v>2.4231514843841939</c:v>
                </c:pt>
                <c:pt idx="5">
                  <c:v>2.5170011791459777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FF8-A741-83D4-E7C85C5EC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Mean Number of Desired versus Achieved Children by Age Group, all women, Brazil, PNDS 2006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resumo!$N$24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resumo!$O$22:$T$22</c:f>
              <c:strCache>
                <c:ptCount val="6"/>
                <c:pt idx="0">
                  <c:v>&lt;20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</c:strCache>
            </c:strRef>
          </c:cat>
          <c:val>
            <c:numRef>
              <c:f>resumo!$O$24:$T$24</c:f>
              <c:numCache>
                <c:formatCode>0.00</c:formatCode>
                <c:ptCount val="6"/>
                <c:pt idx="0">
                  <c:v>0.18578847202440402</c:v>
                </c:pt>
                <c:pt idx="1">
                  <c:v>0.74276584154069103</c:v>
                </c:pt>
                <c:pt idx="2">
                  <c:v>1.2707499399092248</c:v>
                </c:pt>
                <c:pt idx="3">
                  <c:v>1.811645147009548</c:v>
                </c:pt>
                <c:pt idx="4">
                  <c:v>2.0568046739771071</c:v>
                </c:pt>
                <c:pt idx="5">
                  <c:v>2.3819343759479841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A3-C749-9ED3-63BAE8B4611C}"/>
            </c:ext>
          </c:extLst>
        </c:ser>
        <c:ser>
          <c:idx val="0"/>
          <c:order val="1"/>
          <c:tx>
            <c:strRef>
              <c:f>resumo!$N$25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resumo!$O$22:$T$22</c:f>
              <c:strCache>
                <c:ptCount val="6"/>
                <c:pt idx="0">
                  <c:v>&lt;20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40-44</c:v>
                </c:pt>
              </c:strCache>
            </c:strRef>
          </c:cat>
          <c:val>
            <c:numRef>
              <c:f>resumo!$O$25:$T$25</c:f>
              <c:numCache>
                <c:formatCode>0.00</c:formatCode>
                <c:ptCount val="6"/>
                <c:pt idx="0">
                  <c:v>1.6808919011817212</c:v>
                </c:pt>
                <c:pt idx="1">
                  <c:v>1.1774592145842127</c:v>
                </c:pt>
                <c:pt idx="2">
                  <c:v>0.81542981015113258</c:v>
                </c:pt>
                <c:pt idx="3">
                  <c:v>0.39245246661649391</c:v>
                </c:pt>
                <c:pt idx="4">
                  <c:v>0.36634681040708683</c:v>
                </c:pt>
                <c:pt idx="5">
                  <c:v>0.13506680319799358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A3-C749-9ED3-63BAE8B461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Mean Number of Desired versus Achieved Children by Age Group, public servants, Brazil, PNDS 2006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[1]resumo!$F$24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[1]resumo!$G$22:$L$22</c:f>
              <c:strCache>
                <c:ptCount val="6"/>
                <c:pt idx="0">
                  <c:v>15-29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40-45</c:v>
                </c:pt>
              </c:strCache>
            </c:strRef>
          </c:cat>
          <c:val>
            <c:numRef>
              <c:f>[1]resumo!$G$24:$L$24</c:f>
              <c:numCache>
                <c:formatCode>General</c:formatCode>
                <c:ptCount val="6"/>
                <c:pt idx="0">
                  <c:v>0</c:v>
                </c:pt>
                <c:pt idx="1">
                  <c:v>0.48515808505694635</c:v>
                </c:pt>
                <c:pt idx="2">
                  <c:v>1.0836310392171344</c:v>
                </c:pt>
                <c:pt idx="3">
                  <c:v>1.0644328681693986</c:v>
                </c:pt>
                <c:pt idx="4">
                  <c:v>1.2595293657779361</c:v>
                </c:pt>
                <c:pt idx="5">
                  <c:v>1.8517545030042006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513-174F-A438-4FC1CBACCB6C}"/>
            </c:ext>
          </c:extLst>
        </c:ser>
        <c:ser>
          <c:idx val="0"/>
          <c:order val="1"/>
          <c:tx>
            <c:strRef>
              <c:f>[1]resumo!$F$25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[1]resumo!$G$22:$L$22</c:f>
              <c:strCache>
                <c:ptCount val="6"/>
                <c:pt idx="0">
                  <c:v>15-29</c:v>
                </c:pt>
                <c:pt idx="1">
                  <c:v>20-24</c:v>
                </c:pt>
                <c:pt idx="2">
                  <c:v>25-29</c:v>
                </c:pt>
                <c:pt idx="3">
                  <c:v>30-34</c:v>
                </c:pt>
                <c:pt idx="4">
                  <c:v>35-39</c:v>
                </c:pt>
                <c:pt idx="5">
                  <c:v>40-45</c:v>
                </c:pt>
              </c:strCache>
            </c:strRef>
          </c:cat>
          <c:val>
            <c:numRef>
              <c:f>[1]resumo!$G$25:$L$25</c:f>
              <c:numCache>
                <c:formatCode>General</c:formatCode>
                <c:ptCount val="6"/>
                <c:pt idx="0">
                  <c:v>2</c:v>
                </c:pt>
                <c:pt idx="1">
                  <c:v>1.1158368333628816</c:v>
                </c:pt>
                <c:pt idx="2">
                  <c:v>0.91153891328759973</c:v>
                </c:pt>
                <c:pt idx="3">
                  <c:v>0.98414072920963713</c:v>
                </c:pt>
                <c:pt idx="4">
                  <c:v>0.63602761959747278</c:v>
                </c:pt>
                <c:pt idx="5">
                  <c:v>0.65593368928269236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513-174F-A438-4FC1CBACCB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Actual 40-49 years old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'PPR Resumo'!$B$12</c:f>
              <c:strCache>
                <c:ptCount val="1"/>
                <c:pt idx="0">
                  <c:v>All Women</c:v>
                </c:pt>
              </c:strCache>
            </c:strRef>
          </c:tx>
          <c:marker>
            <c:symbol val="none"/>
          </c:marker>
          <c:cat>
            <c:strRef>
              <c:f>'PPR Resumo'!$A$14:$A$17</c:f>
              <c:strCache>
                <c:ptCount val="4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</c:strCache>
            </c:strRef>
          </c:cat>
          <c:val>
            <c:numRef>
              <c:f>'PPR Resumo'!$B$14:$B$17</c:f>
            </c:numRef>
          </c:val>
          <c:smooth val="0"/>
          <c:extLst>
            <c:ext xmlns:c16="http://schemas.microsoft.com/office/drawing/2014/chart" uri="{C3380CC4-5D6E-409C-BE32-E72D297353CC}">
              <c16:uniqueId val="{0000000A-2821-764F-9C49-F0CE800D924C}"/>
            </c:ext>
          </c:extLst>
        </c:ser>
        <c:ser>
          <c:idx val="3"/>
          <c:order val="1"/>
          <c:tx>
            <c:strRef>
              <c:f>'PPR Resumo'!$D$12</c:f>
              <c:strCache>
                <c:ptCount val="1"/>
                <c:pt idx="0">
                  <c:v>Public Servants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'PPR Resumo'!$A$14:$A$17</c:f>
              <c:strCache>
                <c:ptCount val="4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</c:strCache>
            </c:strRef>
          </c:cat>
          <c:val>
            <c:numRef>
              <c:f>'PPR Resumo'!$D$14:$D$17</c:f>
              <c:numCache>
                <c:formatCode>0.000</c:formatCode>
                <c:ptCount val="4"/>
                <c:pt idx="0">
                  <c:v>0.72399999999999998</c:v>
                </c:pt>
                <c:pt idx="1">
                  <c:v>0.74</c:v>
                </c:pt>
                <c:pt idx="2">
                  <c:v>0.34799999999999998</c:v>
                </c:pt>
                <c:pt idx="3">
                  <c:v>0.34399999999999997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821-764F-9C49-F0CE800D924C}"/>
            </c:ext>
          </c:extLst>
        </c:ser>
        <c:ser>
          <c:idx val="5"/>
          <c:order val="2"/>
          <c:tx>
            <c:strRef>
              <c:f>'PPR Resumo'!$F$12</c:f>
              <c:strCache>
                <c:ptCount val="1"/>
                <c:pt idx="0">
                  <c:v>With formal contract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'PPR Resumo'!$A$14:$A$17</c:f>
              <c:strCache>
                <c:ptCount val="4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</c:strCache>
            </c:strRef>
          </c:cat>
          <c:val>
            <c:numRef>
              <c:f>'PPR Resumo'!$F$14:$F$17</c:f>
              <c:numCache>
                <c:formatCode>0.000</c:formatCode>
                <c:ptCount val="4"/>
                <c:pt idx="0">
                  <c:v>0.86499999999999999</c:v>
                </c:pt>
                <c:pt idx="1">
                  <c:v>0.748</c:v>
                </c:pt>
                <c:pt idx="2">
                  <c:v>0.46</c:v>
                </c:pt>
                <c:pt idx="3">
                  <c:v>0.372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821-764F-9C49-F0CE800D924C}"/>
            </c:ext>
          </c:extLst>
        </c:ser>
        <c:ser>
          <c:idx val="7"/>
          <c:order val="3"/>
          <c:tx>
            <c:strRef>
              <c:f>'PPR Resumo'!$H$12</c:f>
              <c:strCache>
                <c:ptCount val="1"/>
                <c:pt idx="0">
                  <c:v>Without formal contract</c:v>
                </c:pt>
              </c:strCache>
            </c:strRef>
          </c:tx>
          <c:marker>
            <c:symbol val="none"/>
          </c:marker>
          <c:cat>
            <c:strRef>
              <c:f>'PPR Resumo'!$A$14:$A$17</c:f>
              <c:strCache>
                <c:ptCount val="4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</c:strCache>
            </c:strRef>
          </c:cat>
          <c:val>
            <c:numRef>
              <c:f>'PPR Resumo'!$H$14:$H$17</c:f>
            </c:numRef>
          </c:val>
          <c:smooth val="0"/>
          <c:extLst>
            <c:ext xmlns:c16="http://schemas.microsoft.com/office/drawing/2014/chart" uri="{C3380CC4-5D6E-409C-BE32-E72D297353CC}">
              <c16:uniqueId val="{00000010-2821-764F-9C49-F0CE800D92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371968"/>
        <c:axId val="905092288"/>
      </c:lineChart>
      <c:catAx>
        <c:axId val="92737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5092288"/>
        <c:crosses val="autoZero"/>
        <c:auto val="1"/>
        <c:lblAlgn val="ctr"/>
        <c:lblOffset val="100"/>
        <c:noMultiLvlLbl val="0"/>
      </c:catAx>
      <c:valAx>
        <c:axId val="90509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737196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Intended 40-49 years old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'PPR Resumo'!$B$12</c:f>
              <c:strCache>
                <c:ptCount val="1"/>
                <c:pt idx="0">
                  <c:v>All Women</c:v>
                </c:pt>
              </c:strCache>
            </c:strRef>
          </c:tx>
          <c:marker>
            <c:symbol val="none"/>
          </c:marker>
          <c:cat>
            <c:strRef>
              <c:f>'PPR Resumo'!$A$14:$A$17</c:f>
              <c:strCache>
                <c:ptCount val="4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</c:strCache>
            </c:strRef>
          </c:cat>
          <c:val>
            <c:numRef>
              <c:f>'PPR Resumo'!$C$14:$C$17</c:f>
            </c:numRef>
          </c:val>
          <c:smooth val="0"/>
          <c:extLst>
            <c:ext xmlns:c16="http://schemas.microsoft.com/office/drawing/2014/chart" uri="{C3380CC4-5D6E-409C-BE32-E72D297353CC}">
              <c16:uniqueId val="{00000005-D55C-0747-97ED-2B4C4BD0C4A6}"/>
            </c:ext>
          </c:extLst>
        </c:ser>
        <c:ser>
          <c:idx val="3"/>
          <c:order val="1"/>
          <c:tx>
            <c:strRef>
              <c:f>'PPR Resumo'!$D$12</c:f>
              <c:strCache>
                <c:ptCount val="1"/>
                <c:pt idx="0">
                  <c:v>Public Servants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'PPR Resumo'!$A$14:$A$17</c:f>
              <c:strCache>
                <c:ptCount val="4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</c:strCache>
            </c:strRef>
          </c:cat>
          <c:val>
            <c:numRef>
              <c:f>'PPR Resumo'!$E$14:$E$17</c:f>
              <c:numCache>
                <c:formatCode>0.000</c:formatCode>
                <c:ptCount val="4"/>
                <c:pt idx="0">
                  <c:v>0.92400000000000004</c:v>
                </c:pt>
                <c:pt idx="1">
                  <c:v>0.85699999999999998</c:v>
                </c:pt>
                <c:pt idx="2">
                  <c:v>0.35899999999999999</c:v>
                </c:pt>
                <c:pt idx="3">
                  <c:v>0.45500000000000002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D55C-0747-97ED-2B4C4BD0C4A6}"/>
            </c:ext>
          </c:extLst>
        </c:ser>
        <c:ser>
          <c:idx val="5"/>
          <c:order val="2"/>
          <c:tx>
            <c:strRef>
              <c:f>'PPR Resumo'!$F$12</c:f>
              <c:strCache>
                <c:ptCount val="1"/>
                <c:pt idx="0">
                  <c:v>With formal contract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strRef>
              <c:f>'PPR Resumo'!$A$14:$A$17</c:f>
              <c:strCache>
                <c:ptCount val="4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</c:strCache>
            </c:strRef>
          </c:cat>
          <c:val>
            <c:numRef>
              <c:f>'PPR Resumo'!$G$14:$G$17</c:f>
              <c:numCache>
                <c:formatCode>0.000</c:formatCode>
                <c:ptCount val="4"/>
                <c:pt idx="0">
                  <c:v>0.91100000000000003</c:v>
                </c:pt>
                <c:pt idx="1">
                  <c:v>0.84899999999999998</c:v>
                </c:pt>
                <c:pt idx="2">
                  <c:v>0.39200000000000002</c:v>
                </c:pt>
                <c:pt idx="3">
                  <c:v>0.436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D55C-0747-97ED-2B4C4BD0C4A6}"/>
            </c:ext>
          </c:extLst>
        </c:ser>
        <c:ser>
          <c:idx val="7"/>
          <c:order val="3"/>
          <c:tx>
            <c:strRef>
              <c:f>'PPR Resumo'!$H$12</c:f>
              <c:strCache>
                <c:ptCount val="1"/>
                <c:pt idx="0">
                  <c:v>Without formal contract</c:v>
                </c:pt>
              </c:strCache>
            </c:strRef>
          </c:tx>
          <c:marker>
            <c:symbol val="none"/>
          </c:marker>
          <c:cat>
            <c:strRef>
              <c:f>'PPR Resumo'!$A$14:$A$17</c:f>
              <c:strCache>
                <c:ptCount val="4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</c:strCache>
            </c:strRef>
          </c:cat>
          <c:val>
            <c:numRef>
              <c:f>'PPR Resumo'!$I$14:$I$17</c:f>
            </c:numRef>
          </c:val>
          <c:smooth val="0"/>
          <c:extLst>
            <c:ext xmlns:c16="http://schemas.microsoft.com/office/drawing/2014/chart" uri="{C3380CC4-5D6E-409C-BE32-E72D297353CC}">
              <c16:uniqueId val="{0000000B-D55C-0747-97ED-2B4C4BD0C4A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371968"/>
        <c:axId val="905092288"/>
      </c:lineChart>
      <c:catAx>
        <c:axId val="92737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5092288"/>
        <c:crosses val="autoZero"/>
        <c:auto val="1"/>
        <c:lblAlgn val="ctr"/>
        <c:lblOffset val="100"/>
        <c:noMultiLvlLbl val="0"/>
      </c:catAx>
      <c:valAx>
        <c:axId val="90509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737196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Difference between</a:t>
            </a:r>
            <a:r>
              <a:rPr lang="pt-BR" baseline="0"/>
              <a:t> desired and achived, women aged 40-49 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'PPR Resumo'!$B$27</c:f>
              <c:strCache>
                <c:ptCount val="1"/>
                <c:pt idx="0">
                  <c:v>All Women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'PPR Resumo'!$A$22:$A$25</c:f>
              <c:strCache>
                <c:ptCount val="4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</c:strCache>
            </c:strRef>
          </c:cat>
          <c:val>
            <c:numRef>
              <c:f>'PPR Resumo'!$B$28:$B$31</c:f>
            </c:numRef>
          </c:val>
          <c:extLst>
            <c:ext xmlns:c16="http://schemas.microsoft.com/office/drawing/2014/chart" uri="{C3380CC4-5D6E-409C-BE32-E72D297353CC}">
              <c16:uniqueId val="{00000000-4BB3-DA4C-AD62-4197581D08D6}"/>
            </c:ext>
          </c:extLst>
        </c:ser>
        <c:ser>
          <c:idx val="1"/>
          <c:order val="1"/>
          <c:tx>
            <c:strRef>
              <c:f>'PPR Resumo'!$C$27</c:f>
              <c:strCache>
                <c:ptCount val="1"/>
                <c:pt idx="0">
                  <c:v>Public Servants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'PPR Resumo'!$A$22:$A$25</c:f>
              <c:strCache>
                <c:ptCount val="4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</c:strCache>
            </c:strRef>
          </c:cat>
          <c:val>
            <c:numRef>
              <c:f>'PPR Resumo'!$C$28:$C$31</c:f>
            </c:numRef>
          </c:val>
          <c:extLst>
            <c:ext xmlns:c16="http://schemas.microsoft.com/office/drawing/2014/chart" uri="{C3380CC4-5D6E-409C-BE32-E72D297353CC}">
              <c16:uniqueId val="{00000001-4BB3-DA4C-AD62-4197581D08D6}"/>
            </c:ext>
          </c:extLst>
        </c:ser>
        <c:ser>
          <c:idx val="2"/>
          <c:order val="2"/>
          <c:tx>
            <c:strRef>
              <c:f>'PPR Resumo'!$D$27</c:f>
              <c:strCache>
                <c:ptCount val="1"/>
                <c:pt idx="0">
                  <c:v>With formal contract</c:v>
                </c:pt>
              </c:strCache>
            </c:strRef>
          </c:tx>
          <c:spPr>
            <a:solidFill>
              <a:schemeClr val="accent4"/>
            </a:solidFill>
            <a:ln>
              <a:solidFill>
                <a:schemeClr val="accent4"/>
              </a:solidFill>
            </a:ln>
            <a:effectLst/>
          </c:spPr>
          <c:invertIfNegative val="0"/>
          <c:cat>
            <c:strRef>
              <c:f>'PPR Resumo'!$A$22:$A$25</c:f>
              <c:strCache>
                <c:ptCount val="4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</c:strCache>
            </c:strRef>
          </c:cat>
          <c:val>
            <c:numRef>
              <c:f>'PPR Resumo'!$D$28:$D$31</c:f>
              <c:numCache>
                <c:formatCode>0.000</c:formatCode>
                <c:ptCount val="4"/>
                <c:pt idx="0">
                  <c:v>4.6000000000000041E-2</c:v>
                </c:pt>
                <c:pt idx="1">
                  <c:v>0.10099999999999998</c:v>
                </c:pt>
                <c:pt idx="2">
                  <c:v>-6.8000000000000005E-2</c:v>
                </c:pt>
                <c:pt idx="3">
                  <c:v>6.4000000000000001E-2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BB3-DA4C-AD62-4197581D08D6}"/>
            </c:ext>
          </c:extLst>
        </c:ser>
        <c:ser>
          <c:idx val="3"/>
          <c:order val="3"/>
          <c:tx>
            <c:strRef>
              <c:f>'PPR Resumo'!$E$27</c:f>
              <c:strCache>
                <c:ptCount val="1"/>
                <c:pt idx="0">
                  <c:v>Without formal contract</c:v>
                </c:pt>
              </c:strCache>
            </c:strRef>
          </c:tx>
          <c:spPr>
            <a:solidFill>
              <a:schemeClr val="accent6"/>
            </a:solidFill>
            <a:ln>
              <a:solidFill>
                <a:srgbClr val="00B050"/>
              </a:solidFill>
            </a:ln>
            <a:effectLst/>
          </c:spPr>
          <c:invertIfNegative val="0"/>
          <c:cat>
            <c:strRef>
              <c:f>'PPR Resumo'!$A$22:$A$25</c:f>
              <c:strCache>
                <c:ptCount val="4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</c:strCache>
            </c:strRef>
          </c:cat>
          <c:val>
            <c:numRef>
              <c:f>'PPR Resumo'!$E$28:$E$31</c:f>
              <c:numCache>
                <c:formatCode>0.000</c:formatCode>
                <c:ptCount val="4"/>
                <c:pt idx="0">
                  <c:v>4.3000000000000038E-2</c:v>
                </c:pt>
                <c:pt idx="1">
                  <c:v>2.1000000000000019E-2</c:v>
                </c:pt>
                <c:pt idx="2">
                  <c:v>-0.13300000000000001</c:v>
                </c:pt>
                <c:pt idx="3">
                  <c:v>-2.7000000000000024E-2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4BB3-DA4C-AD62-4197581D08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08197423"/>
        <c:axId val="1008227215"/>
      </c:barChart>
      <c:catAx>
        <c:axId val="10081974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8227215"/>
        <c:crosses val="autoZero"/>
        <c:auto val="1"/>
        <c:lblAlgn val="ctr"/>
        <c:lblOffset val="100"/>
        <c:noMultiLvlLbl val="0"/>
      </c:catAx>
      <c:valAx>
        <c:axId val="100822721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081974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pt-BR"/>
              <a:t>tidos</a:t>
            </a:r>
            <a:r>
              <a:rPr lang="pt-BR" baseline="0"/>
              <a:t> x desejados</a:t>
            </a:r>
            <a:r>
              <a:rPr lang="pt-BR"/>
              <a:t> 40-49 anos funcionarias publicas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'PPR Resumo'!$B$12</c:f>
              <c:strCache>
                <c:ptCount val="1"/>
                <c:pt idx="0">
                  <c:v>All Women</c:v>
                </c:pt>
              </c:strCache>
            </c:strRef>
          </c:tx>
          <c:marker>
            <c:symbol val="none"/>
          </c:marker>
          <c:cat>
            <c:strRef>
              <c:f>'PPR Resumo'!$A$14:$A$17</c:f>
              <c:strCache>
                <c:ptCount val="4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</c:strCache>
            </c:strRef>
          </c:cat>
          <c:val>
            <c:numRef>
              <c:f>'PPR Resumo'!$B$14:$B$17</c:f>
            </c:numRef>
          </c:val>
          <c:smooth val="0"/>
          <c:extLst>
            <c:ext xmlns:c16="http://schemas.microsoft.com/office/drawing/2014/chart" uri="{C3380CC4-5D6E-409C-BE32-E72D297353CC}">
              <c16:uniqueId val="{00000000-25AC-D443-BE7B-A33F3D3DF5BD}"/>
            </c:ext>
          </c:extLst>
        </c:ser>
        <c:ser>
          <c:idx val="3"/>
          <c:order val="1"/>
          <c:tx>
            <c:strRef>
              <c:f>'PPR Resumo'!$D$13</c:f>
              <c:strCache>
                <c:ptCount val="1"/>
                <c:pt idx="0">
                  <c:v>Actual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strRef>
              <c:f>'PPR Resumo'!$A$14:$A$17</c:f>
              <c:strCache>
                <c:ptCount val="4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</c:strCache>
            </c:strRef>
          </c:cat>
          <c:val>
            <c:numRef>
              <c:f>'PPR Resumo'!$D$14:$D$17</c:f>
              <c:numCache>
                <c:formatCode>0.000</c:formatCode>
                <c:ptCount val="4"/>
                <c:pt idx="0">
                  <c:v>0.72399999999999998</c:v>
                </c:pt>
                <c:pt idx="1">
                  <c:v>0.74</c:v>
                </c:pt>
                <c:pt idx="2">
                  <c:v>0.34799999999999998</c:v>
                </c:pt>
                <c:pt idx="3">
                  <c:v>0.34399999999999997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5AC-D443-BE7B-A33F3D3DF5BD}"/>
            </c:ext>
          </c:extLst>
        </c:ser>
        <c:ser>
          <c:idx val="5"/>
          <c:order val="2"/>
          <c:tx>
            <c:strRef>
              <c:f>'PPR Resumo'!$E$13</c:f>
              <c:strCache>
                <c:ptCount val="1"/>
                <c:pt idx="0">
                  <c:v>Intended</c:v>
                </c:pt>
              </c:strCache>
            </c:strRef>
          </c:tx>
          <c:marker>
            <c:symbol val="none"/>
          </c:marker>
          <c:cat>
            <c:strRef>
              <c:f>'PPR Resumo'!$A$14:$A$17</c:f>
              <c:strCache>
                <c:ptCount val="4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</c:strCache>
            </c:strRef>
          </c:cat>
          <c:val>
            <c:numRef>
              <c:f>'PPR Resumo'!$E$14:$E$17</c:f>
              <c:numCache>
                <c:formatCode>0.000</c:formatCode>
                <c:ptCount val="4"/>
                <c:pt idx="0">
                  <c:v>0.92400000000000004</c:v>
                </c:pt>
                <c:pt idx="1">
                  <c:v>0.85699999999999998</c:v>
                </c:pt>
                <c:pt idx="2">
                  <c:v>0.35899999999999999</c:v>
                </c:pt>
                <c:pt idx="3">
                  <c:v>0.45500000000000002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5AC-D443-BE7B-A33F3D3DF5BD}"/>
            </c:ext>
          </c:extLst>
        </c:ser>
        <c:ser>
          <c:idx val="7"/>
          <c:order val="3"/>
          <c:tx>
            <c:strRef>
              <c:f>'PPR Resumo'!$H$12</c:f>
              <c:strCache>
                <c:ptCount val="1"/>
                <c:pt idx="0">
                  <c:v>Without formal contract</c:v>
                </c:pt>
              </c:strCache>
            </c:strRef>
          </c:tx>
          <c:marker>
            <c:symbol val="none"/>
          </c:marker>
          <c:cat>
            <c:strRef>
              <c:f>'PPR Resumo'!$A$14:$A$17</c:f>
              <c:strCache>
                <c:ptCount val="4"/>
                <c:pt idx="0">
                  <c:v>0–1</c:v>
                </c:pt>
                <c:pt idx="1">
                  <c:v>1–2</c:v>
                </c:pt>
                <c:pt idx="2">
                  <c:v>2–3</c:v>
                </c:pt>
                <c:pt idx="3">
                  <c:v>3–4</c:v>
                </c:pt>
              </c:strCache>
            </c:strRef>
          </c:cat>
          <c:val>
            <c:numRef>
              <c:f>'PPR Resumo'!$H$14:$H$17</c:f>
            </c:numRef>
          </c:val>
          <c:smooth val="0"/>
          <c:extLst>
            <c:ext xmlns:c16="http://schemas.microsoft.com/office/drawing/2014/chart" uri="{C3380CC4-5D6E-409C-BE32-E72D297353CC}">
              <c16:uniqueId val="{00000003-25AC-D443-BE7B-A33F3D3DF5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27371968"/>
        <c:axId val="905092288"/>
      </c:lineChart>
      <c:catAx>
        <c:axId val="9273719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05092288"/>
        <c:crosses val="autoZero"/>
        <c:auto val="1"/>
        <c:lblAlgn val="ctr"/>
        <c:lblOffset val="100"/>
        <c:noMultiLvlLbl val="0"/>
      </c:catAx>
      <c:valAx>
        <c:axId val="905092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927371968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ln>
      <a:noFill/>
    </a:ln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Number of Desired versus Achieved Children by Age Group,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all women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Brazil, PNDS 2006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'mean of cheldren'!$M$3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cheldren'!$L$5:$L$9</c:f>
              <c:strCache>
                <c:ptCount val="5"/>
                <c:pt idx="0">
                  <c:v>20-24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40-44</c:v>
                </c:pt>
              </c:strCache>
            </c:strRef>
          </c:cat>
          <c:val>
            <c:numRef>
              <c:f>'mean of cheldren'!$M$5:$M$9</c:f>
              <c:numCache>
                <c:formatCode>0.00</c:formatCode>
                <c:ptCount val="5"/>
                <c:pt idx="0">
                  <c:v>0.74</c:v>
                </c:pt>
                <c:pt idx="1">
                  <c:v>1.27</c:v>
                </c:pt>
                <c:pt idx="2">
                  <c:v>1.81</c:v>
                </c:pt>
                <c:pt idx="3">
                  <c:v>2.06</c:v>
                </c:pt>
                <c:pt idx="4">
                  <c:v>2.38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5DF3-254D-8B24-84F0D4D5D48D}"/>
            </c:ext>
          </c:extLst>
        </c:ser>
        <c:ser>
          <c:idx val="0"/>
          <c:order val="1"/>
          <c:tx>
            <c:strRef>
              <c:f>'mean of cheldren'!$N$3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cheldren'!$L$5:$L$9</c:f>
              <c:strCache>
                <c:ptCount val="5"/>
                <c:pt idx="0">
                  <c:v>20-24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40-44</c:v>
                </c:pt>
              </c:strCache>
            </c:strRef>
          </c:cat>
          <c:val>
            <c:numRef>
              <c:f>'mean of cheldren'!$N$5:$N$9</c:f>
              <c:numCache>
                <c:formatCode>0.00</c:formatCode>
                <c:ptCount val="5"/>
                <c:pt idx="0">
                  <c:v>1.1300000000000001</c:v>
                </c:pt>
                <c:pt idx="1">
                  <c:v>0.64999999999999991</c:v>
                </c:pt>
                <c:pt idx="2">
                  <c:v>0.2799999999999998</c:v>
                </c:pt>
                <c:pt idx="3">
                  <c:v>0.14000000000000012</c:v>
                </c:pt>
                <c:pt idx="4">
                  <c:v>4.0000000000000036E-2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DF3-254D-8B24-84F0D4D5D48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Number of Desired versus Achieved Children by Age Group,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public servants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Brazil, PNDS 2006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'mean of cheldren'!$M$3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cheldren'!$L$14:$L$18</c:f>
              <c:strCache>
                <c:ptCount val="5"/>
                <c:pt idx="0">
                  <c:v>20-24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40-44</c:v>
                </c:pt>
              </c:strCache>
            </c:strRef>
          </c:cat>
          <c:val>
            <c:numRef>
              <c:f>'mean of cheldren'!$M$14:$M$18</c:f>
              <c:numCache>
                <c:formatCode>0.00</c:formatCode>
                <c:ptCount val="5"/>
                <c:pt idx="0">
                  <c:v>0.49</c:v>
                </c:pt>
                <c:pt idx="1">
                  <c:v>1.08</c:v>
                </c:pt>
                <c:pt idx="2">
                  <c:v>1.06</c:v>
                </c:pt>
                <c:pt idx="3">
                  <c:v>1.26</c:v>
                </c:pt>
                <c:pt idx="4">
                  <c:v>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7DD-0942-961E-8E6281033BE1}"/>
            </c:ext>
          </c:extLst>
        </c:ser>
        <c:ser>
          <c:idx val="0"/>
          <c:order val="1"/>
          <c:tx>
            <c:strRef>
              <c:f>'mean of cheldren'!$N$12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cheldren'!$L$14:$L$18</c:f>
              <c:strCache>
                <c:ptCount val="5"/>
                <c:pt idx="0">
                  <c:v>20-24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40-44</c:v>
                </c:pt>
              </c:strCache>
            </c:strRef>
          </c:cat>
          <c:val>
            <c:numRef>
              <c:f>'mean of cheldren'!$N$14:$N$18</c:f>
              <c:numCache>
                <c:formatCode>0.00</c:formatCode>
                <c:ptCount val="5"/>
                <c:pt idx="0">
                  <c:v>1.1100000000000001</c:v>
                </c:pt>
                <c:pt idx="1">
                  <c:v>0.91999999999999993</c:v>
                </c:pt>
                <c:pt idx="2">
                  <c:v>0.98999999999999977</c:v>
                </c:pt>
                <c:pt idx="3">
                  <c:v>0.6399999999999999</c:v>
                </c:pt>
                <c:pt idx="4">
                  <c:v>0.6599999999999997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7DD-0942-961E-8E6281033B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Number of Desired versus Achieved Children by Age Group,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with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formal contract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Brazil, PNDS 2006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'mean of cheldren'!$M$3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cheldren'!$L$23:$L$27</c:f>
              <c:strCache>
                <c:ptCount val="5"/>
                <c:pt idx="0">
                  <c:v>20-24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40-44</c:v>
                </c:pt>
              </c:strCache>
            </c:strRef>
          </c:cat>
          <c:val>
            <c:numRef>
              <c:f>'mean of cheldren'!$M$23:$M$27</c:f>
              <c:numCache>
                <c:formatCode>0.00</c:formatCode>
                <c:ptCount val="5"/>
                <c:pt idx="0">
                  <c:v>0.43</c:v>
                </c:pt>
                <c:pt idx="1">
                  <c:v>0.9</c:v>
                </c:pt>
                <c:pt idx="2">
                  <c:v>1.34</c:v>
                </c:pt>
                <c:pt idx="3">
                  <c:v>1.62</c:v>
                </c:pt>
                <c:pt idx="4">
                  <c:v>1.86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260-1A4E-92EA-1B91481983BE}"/>
            </c:ext>
          </c:extLst>
        </c:ser>
        <c:ser>
          <c:idx val="0"/>
          <c:order val="1"/>
          <c:tx>
            <c:strRef>
              <c:f>'mean of cheldren'!$N$3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cheldren'!$L$23:$L$27</c:f>
              <c:strCache>
                <c:ptCount val="5"/>
                <c:pt idx="0">
                  <c:v>20-24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40-44</c:v>
                </c:pt>
              </c:strCache>
            </c:strRef>
          </c:cat>
          <c:val>
            <c:numRef>
              <c:f>'mean of cheldren'!$N$23:$N$27</c:f>
              <c:numCache>
                <c:formatCode>0.00</c:formatCode>
                <c:ptCount val="5"/>
                <c:pt idx="0">
                  <c:v>1.4100000000000001</c:v>
                </c:pt>
                <c:pt idx="1">
                  <c:v>0.94000000000000006</c:v>
                </c:pt>
                <c:pt idx="2">
                  <c:v>0.82000000000000006</c:v>
                </c:pt>
                <c:pt idx="3">
                  <c:v>0.45999999999999996</c:v>
                </c:pt>
                <c:pt idx="4">
                  <c:v>0.49999999999999978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260-1A4E-92EA-1B91481983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  <c:max val="3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Number of Desired versus Achieved Children by Age Group,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without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formal contract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Brazil, PNDS 2006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'mean of cheldren'!$M$3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cheldren'!$L$32:$L$36</c:f>
              <c:strCache>
                <c:ptCount val="5"/>
                <c:pt idx="0">
                  <c:v>20-24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40-44</c:v>
                </c:pt>
              </c:strCache>
            </c:strRef>
          </c:cat>
          <c:val>
            <c:numRef>
              <c:f>'mean of cheldren'!$M$32:$M$36</c:f>
              <c:numCache>
                <c:formatCode>0.00</c:formatCode>
                <c:ptCount val="5"/>
                <c:pt idx="0">
                  <c:v>0.77</c:v>
                </c:pt>
                <c:pt idx="1">
                  <c:v>1.34</c:v>
                </c:pt>
                <c:pt idx="2">
                  <c:v>1.94</c:v>
                </c:pt>
                <c:pt idx="3">
                  <c:v>2.2000000000000002</c:v>
                </c:pt>
                <c:pt idx="4">
                  <c:v>2.52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ED-3348-9B7D-E70A4F35E47A}"/>
            </c:ext>
          </c:extLst>
        </c:ser>
        <c:ser>
          <c:idx val="0"/>
          <c:order val="1"/>
          <c:tx>
            <c:strRef>
              <c:f>'mean of cheldren'!$N$3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cheldren'!$L$32:$L$36</c:f>
              <c:strCache>
                <c:ptCount val="5"/>
                <c:pt idx="0">
                  <c:v>20-24</c:v>
                </c:pt>
                <c:pt idx="1">
                  <c:v>25-29</c:v>
                </c:pt>
                <c:pt idx="2">
                  <c:v>30-34</c:v>
                </c:pt>
                <c:pt idx="3">
                  <c:v>35-39</c:v>
                </c:pt>
                <c:pt idx="4">
                  <c:v>40-44</c:v>
                </c:pt>
              </c:strCache>
            </c:strRef>
          </c:cat>
          <c:val>
            <c:numRef>
              <c:f>'mean of cheldren'!$N$32:$N$36</c:f>
              <c:numCache>
                <c:formatCode>0.00</c:formatCode>
                <c:ptCount val="5"/>
                <c:pt idx="0">
                  <c:v>1.1199999999999999</c:v>
                </c:pt>
                <c:pt idx="1">
                  <c:v>0.57999999999999985</c:v>
                </c:pt>
                <c:pt idx="2">
                  <c:v>8.0000000000000071E-2</c:v>
                </c:pt>
                <c:pt idx="3">
                  <c:v>0</c:v>
                </c:pt>
                <c:pt idx="4">
                  <c:v>-8.9999999999999858E-2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ED-3348-9B7D-E70A4F35E47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Number of Desired versus Achieved Children by Age Group,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all women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Brazil, PNDS 2006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'mean of cheldren'!$M$3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cheldren'!$L$46:$L$48</c:f>
              <c:strCache>
                <c:ptCount val="3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</c:strCache>
            </c:strRef>
          </c:cat>
          <c:val>
            <c:numRef>
              <c:f>'mean of cheldren'!$M$46:$M$48</c:f>
              <c:numCache>
                <c:formatCode>0.00</c:formatCode>
                <c:ptCount val="3"/>
                <c:pt idx="0">
                  <c:v>1</c:v>
                </c:pt>
                <c:pt idx="1">
                  <c:v>1.93</c:v>
                </c:pt>
                <c:pt idx="2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F2D-1B49-B5EF-5B12F6E0B605}"/>
            </c:ext>
          </c:extLst>
        </c:ser>
        <c:ser>
          <c:idx val="0"/>
          <c:order val="1"/>
          <c:tx>
            <c:strRef>
              <c:f>'mean of cheldren'!$N$3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cheldren'!$L$46:$L$48</c:f>
              <c:strCache>
                <c:ptCount val="3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</c:strCache>
            </c:strRef>
          </c:cat>
          <c:val>
            <c:numRef>
              <c:f>'mean of cheldren'!$N$46:$N$48</c:f>
              <c:numCache>
                <c:formatCode>0.00</c:formatCode>
                <c:ptCount val="3"/>
                <c:pt idx="0">
                  <c:v>0.8899999999999999</c:v>
                </c:pt>
                <c:pt idx="1">
                  <c:v>0.21000000000000019</c:v>
                </c:pt>
                <c:pt idx="2">
                  <c:v>-2.9999999999999805E-2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F2D-1B49-B5EF-5B12F6E0B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Number of Desired versus Achieved Children by Age Group,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public servants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Brazil, PNDS 2006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'mean of cheldren'!$M$3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cheldren'!$L$53:$L$55</c:f>
              <c:strCache>
                <c:ptCount val="3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</c:strCache>
            </c:strRef>
          </c:cat>
          <c:val>
            <c:numRef>
              <c:f>'mean of cheldren'!$M$53:$M$55</c:f>
              <c:numCache>
                <c:formatCode>0.00</c:formatCode>
                <c:ptCount val="3"/>
                <c:pt idx="0">
                  <c:v>0.86</c:v>
                </c:pt>
                <c:pt idx="1">
                  <c:v>1.17</c:v>
                </c:pt>
                <c:pt idx="2">
                  <c:v>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6B-484D-AFD4-D83F5C46ACEC}"/>
            </c:ext>
          </c:extLst>
        </c:ser>
        <c:ser>
          <c:idx val="0"/>
          <c:order val="1"/>
          <c:tx>
            <c:strRef>
              <c:f>'mean of cheldren'!$N$12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cheldren'!$L$53:$L$55</c:f>
              <c:strCache>
                <c:ptCount val="3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</c:strCache>
            </c:strRef>
          </c:cat>
          <c:val>
            <c:numRef>
              <c:f>'mean of cheldren'!$N$53:$N$55</c:f>
              <c:numCache>
                <c:formatCode>0.00</c:formatCode>
                <c:ptCount val="3"/>
                <c:pt idx="0">
                  <c:v>0.98000000000000009</c:v>
                </c:pt>
                <c:pt idx="1">
                  <c:v>0.79</c:v>
                </c:pt>
                <c:pt idx="2">
                  <c:v>0.69999999999999973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E6B-484D-AFD4-D83F5C46ACE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Number of Desired versus Achieved Children by Age Group,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with formal contract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Brazil, PNDS 2006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'mean of cheldren'!$M$3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cheldren'!$L$60:$L$62</c:f>
              <c:strCache>
                <c:ptCount val="3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</c:strCache>
            </c:strRef>
          </c:cat>
          <c:val>
            <c:numRef>
              <c:f>'mean of cheldren'!$M$60:$M$62</c:f>
              <c:numCache>
                <c:formatCode>0.00</c:formatCode>
                <c:ptCount val="3"/>
                <c:pt idx="0">
                  <c:v>0.68</c:v>
                </c:pt>
                <c:pt idx="1">
                  <c:v>1.48</c:v>
                </c:pt>
                <c:pt idx="2">
                  <c:v>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6C1-4D4E-ADBD-FAD87C6188E1}"/>
            </c:ext>
          </c:extLst>
        </c:ser>
        <c:ser>
          <c:idx val="0"/>
          <c:order val="1"/>
          <c:tx>
            <c:strRef>
              <c:f>'mean of cheldren'!$N$3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cheldren'!$L$60:$L$62</c:f>
              <c:strCache>
                <c:ptCount val="3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</c:strCache>
            </c:strRef>
          </c:cat>
          <c:val>
            <c:numRef>
              <c:f>'mean of cheldren'!$N$60:$N$62</c:f>
              <c:numCache>
                <c:formatCode>0.00</c:formatCode>
                <c:ptCount val="3"/>
                <c:pt idx="0">
                  <c:v>1.1600000000000001</c:v>
                </c:pt>
                <c:pt idx="1">
                  <c:v>0.64000000000000012</c:v>
                </c:pt>
                <c:pt idx="2">
                  <c:v>0.30999999999999983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6C1-4D4E-ADBD-FAD87C6188E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Number of Desired versus Achieved Children by Age Group,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without formal contract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Brazil, PNDS 2006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'mean of cheldren'!$M$3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cheldren'!$L$67:$L$69</c:f>
              <c:strCache>
                <c:ptCount val="3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</c:strCache>
            </c:strRef>
          </c:cat>
          <c:val>
            <c:numRef>
              <c:f>'mean of cheldren'!$M$67:$M$69</c:f>
              <c:numCache>
                <c:formatCode>0.00</c:formatCode>
                <c:ptCount val="3"/>
                <c:pt idx="0">
                  <c:v>1.04</c:v>
                </c:pt>
                <c:pt idx="1">
                  <c:v>2.0699999999999998</c:v>
                </c:pt>
                <c:pt idx="2">
                  <c:v>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7F5-4440-A76F-1F28D65BB386}"/>
            </c:ext>
          </c:extLst>
        </c:ser>
        <c:ser>
          <c:idx val="0"/>
          <c:order val="1"/>
          <c:tx>
            <c:strRef>
              <c:f>'mean of cheldren'!$N$12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cheldren'!$L$67:$L$69</c:f>
              <c:strCache>
                <c:ptCount val="3"/>
                <c:pt idx="0">
                  <c:v>20-29</c:v>
                </c:pt>
                <c:pt idx="1">
                  <c:v>30-39</c:v>
                </c:pt>
                <c:pt idx="2">
                  <c:v>40-49</c:v>
                </c:pt>
              </c:strCache>
            </c:strRef>
          </c:cat>
          <c:val>
            <c:numRef>
              <c:f>'mean of cheldren'!$N$67:$N$69</c:f>
              <c:numCache>
                <c:formatCode>0.00</c:formatCode>
                <c:ptCount val="3"/>
                <c:pt idx="0">
                  <c:v>0.85999999999999988</c:v>
                </c:pt>
                <c:pt idx="1">
                  <c:v>4.0000000000000036E-2</c:v>
                </c:pt>
                <c:pt idx="2">
                  <c:v>-0.15000000000000036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F5-4440-A76F-1F28D65BB38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Number of Desired versus Achieved Children by Age Group,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all women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Brazil, PNDS 2006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'mean of cheldren'!$M$3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cheldren'!$L$85:$L$86</c:f>
              <c:strCache>
                <c:ptCount val="2"/>
                <c:pt idx="0">
                  <c:v>20-34</c:v>
                </c:pt>
                <c:pt idx="1">
                  <c:v>35-49</c:v>
                </c:pt>
              </c:strCache>
            </c:strRef>
          </c:cat>
          <c:val>
            <c:numRef>
              <c:f>'mean of cheldren'!$M$85:$M$86</c:f>
              <c:numCache>
                <c:formatCode>0.00</c:formatCode>
                <c:ptCount val="2"/>
                <c:pt idx="0">
                  <c:v>1.24</c:v>
                </c:pt>
                <c:pt idx="1">
                  <c:v>2.34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87F-E446-8C4C-D685758C90A0}"/>
            </c:ext>
          </c:extLst>
        </c:ser>
        <c:ser>
          <c:idx val="0"/>
          <c:order val="1"/>
          <c:tx>
            <c:strRef>
              <c:f>'mean of cheldren'!$N$3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cheldren'!$L$85:$L$86</c:f>
              <c:strCache>
                <c:ptCount val="2"/>
                <c:pt idx="0">
                  <c:v>20-34</c:v>
                </c:pt>
                <c:pt idx="1">
                  <c:v>35-49</c:v>
                </c:pt>
              </c:strCache>
            </c:strRef>
          </c:cat>
          <c:val>
            <c:numRef>
              <c:f>'mean of cheldren'!$N$85:$N$86</c:f>
              <c:numCache>
                <c:formatCode>0.00</c:formatCode>
                <c:ptCount val="2"/>
                <c:pt idx="0">
                  <c:v>0.71</c:v>
                </c:pt>
                <c:pt idx="1">
                  <c:v>3.0000000000000249E-2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87F-E446-8C4C-D685758C90A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Number of Desired versus Achieved Children by Age Group,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public servants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Brazil, PNDS 2006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'mean of cheldren'!$M$3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cheldren'!$L$91:$L$92</c:f>
              <c:strCache>
                <c:ptCount val="2"/>
                <c:pt idx="0">
                  <c:v>20-34</c:v>
                </c:pt>
                <c:pt idx="1">
                  <c:v>35-49</c:v>
                </c:pt>
              </c:strCache>
            </c:strRef>
          </c:cat>
          <c:val>
            <c:numRef>
              <c:f>'mean of cheldren'!$M$91:$M$92</c:f>
              <c:numCache>
                <c:formatCode>0.00</c:formatCode>
                <c:ptCount val="2"/>
                <c:pt idx="0">
                  <c:v>0.96</c:v>
                </c:pt>
                <c:pt idx="1">
                  <c:v>1.53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E59-CD4B-B715-0EB3BECE4365}"/>
            </c:ext>
          </c:extLst>
        </c:ser>
        <c:ser>
          <c:idx val="0"/>
          <c:order val="1"/>
          <c:tx>
            <c:strRef>
              <c:f>'mean of cheldren'!$N$3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cheldren'!$L$91:$L$92</c:f>
              <c:strCache>
                <c:ptCount val="2"/>
                <c:pt idx="0">
                  <c:v>20-34</c:v>
                </c:pt>
                <c:pt idx="1">
                  <c:v>35-49</c:v>
                </c:pt>
              </c:strCache>
            </c:strRef>
          </c:cat>
          <c:val>
            <c:numRef>
              <c:f>'mean of cheldren'!$N$91:$N$92</c:f>
              <c:numCache>
                <c:formatCode>0.00</c:formatCode>
                <c:ptCount val="2"/>
                <c:pt idx="0">
                  <c:v>0.99</c:v>
                </c:pt>
                <c:pt idx="1">
                  <c:v>0.67000000000000015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E59-CD4B-B715-0EB3BECE43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Number of Desired versus Achieved Children by Age Group,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with formal contract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Brazil, PNDS 2006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'mean of cheldren'!$M$3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cheldren'!$L$97:$L$98</c:f>
              <c:strCache>
                <c:ptCount val="2"/>
                <c:pt idx="0">
                  <c:v>20-34</c:v>
                </c:pt>
                <c:pt idx="1">
                  <c:v>35-49</c:v>
                </c:pt>
              </c:strCache>
            </c:strRef>
          </c:cat>
          <c:val>
            <c:numRef>
              <c:f>'mean of cheldren'!$M$97:$M$98</c:f>
              <c:numCache>
                <c:formatCode>0.00</c:formatCode>
                <c:ptCount val="2"/>
                <c:pt idx="0">
                  <c:v>0.87</c:v>
                </c:pt>
                <c:pt idx="1">
                  <c:v>1.85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1BA-8C4A-8AB3-035E304BFA41}"/>
            </c:ext>
          </c:extLst>
        </c:ser>
        <c:ser>
          <c:idx val="0"/>
          <c:order val="1"/>
          <c:tx>
            <c:strRef>
              <c:f>'mean of cheldren'!$N$3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cheldren'!$L$97:$L$98</c:f>
              <c:strCache>
                <c:ptCount val="2"/>
                <c:pt idx="0">
                  <c:v>20-34</c:v>
                </c:pt>
                <c:pt idx="1">
                  <c:v>35-49</c:v>
                </c:pt>
              </c:strCache>
            </c:strRef>
          </c:cat>
          <c:val>
            <c:numRef>
              <c:f>'mean of cheldren'!$N$97:$N$98</c:f>
              <c:numCache>
                <c:formatCode>0.00</c:formatCode>
                <c:ptCount val="2"/>
                <c:pt idx="0">
                  <c:v>1.06</c:v>
                </c:pt>
                <c:pt idx="1">
                  <c:v>0.35999999999999988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1BA-8C4A-8AB3-035E304BFA4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Number of Desired versus Achieved Children by Age Group,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without formal contract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Brazil, PNDS 2006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'mean of cheldren'!$M$3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cheldren'!$L$103:$L$104</c:f>
              <c:strCache>
                <c:ptCount val="2"/>
                <c:pt idx="0">
                  <c:v>20-34</c:v>
                </c:pt>
                <c:pt idx="1">
                  <c:v>35-49</c:v>
                </c:pt>
              </c:strCache>
            </c:strRef>
          </c:cat>
          <c:val>
            <c:numRef>
              <c:f>'mean of cheldren'!$M$103:$M$104</c:f>
              <c:numCache>
                <c:formatCode>0.00</c:formatCode>
                <c:ptCount val="2"/>
                <c:pt idx="0">
                  <c:v>1.33</c:v>
                </c:pt>
                <c:pt idx="1">
                  <c:v>2.4900000000000002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A155-8B42-8269-32D9E35E2850}"/>
            </c:ext>
          </c:extLst>
        </c:ser>
        <c:ser>
          <c:idx val="0"/>
          <c:order val="1"/>
          <c:tx>
            <c:strRef>
              <c:f>'mean of cheldren'!$N$3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cheldren'!$L$103:$L$104</c:f>
              <c:strCache>
                <c:ptCount val="2"/>
                <c:pt idx="0">
                  <c:v>20-34</c:v>
                </c:pt>
                <c:pt idx="1">
                  <c:v>35-49</c:v>
                </c:pt>
              </c:strCache>
            </c:strRef>
          </c:cat>
          <c:val>
            <c:numRef>
              <c:f>'mean of cheldren'!$N$103:$N$104</c:f>
              <c:numCache>
                <c:formatCode>0.00</c:formatCode>
                <c:ptCount val="2"/>
                <c:pt idx="0">
                  <c:v>0.60999999999999988</c:v>
                </c:pt>
                <c:pt idx="1">
                  <c:v>-0.10000000000000009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155-8B42-8269-32D9E35E28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Number of Desired versus Achieved Children by Age Group,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all women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Brazil, PNDS 2006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'mean of cheldren'!$M$3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cheldren'!$L$122:$L$124</c:f>
              <c:strCache>
                <c:ptCount val="3"/>
                <c:pt idx="0">
                  <c:v>&lt;30</c:v>
                </c:pt>
                <c:pt idx="1">
                  <c:v>30-39</c:v>
                </c:pt>
                <c:pt idx="2">
                  <c:v>40-49</c:v>
                </c:pt>
              </c:strCache>
            </c:strRef>
          </c:cat>
          <c:val>
            <c:numRef>
              <c:f>'mean of cheldren'!$M$122:$M$124</c:f>
              <c:numCache>
                <c:formatCode>0.00</c:formatCode>
                <c:ptCount val="3"/>
                <c:pt idx="0">
                  <c:v>0.72</c:v>
                </c:pt>
                <c:pt idx="1">
                  <c:v>1.93</c:v>
                </c:pt>
                <c:pt idx="2">
                  <c:v>2.5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E5-274D-A0B3-7A8E16F5A2A2}"/>
            </c:ext>
          </c:extLst>
        </c:ser>
        <c:ser>
          <c:idx val="0"/>
          <c:order val="1"/>
          <c:tx>
            <c:strRef>
              <c:f>'mean of cheldren'!$N$3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cheldren'!$L$122:$L$124</c:f>
              <c:strCache>
                <c:ptCount val="3"/>
                <c:pt idx="0">
                  <c:v>&lt;30</c:v>
                </c:pt>
                <c:pt idx="1">
                  <c:v>30-39</c:v>
                </c:pt>
                <c:pt idx="2">
                  <c:v>40-49</c:v>
                </c:pt>
              </c:strCache>
            </c:strRef>
          </c:cat>
          <c:val>
            <c:numRef>
              <c:f>'mean of cheldren'!$N$122:$N$124</c:f>
              <c:numCache>
                <c:formatCode>0.00</c:formatCode>
                <c:ptCount val="3"/>
                <c:pt idx="0">
                  <c:v>1.88</c:v>
                </c:pt>
                <c:pt idx="1">
                  <c:v>2.14</c:v>
                </c:pt>
                <c:pt idx="2">
                  <c:v>2.4700000000000002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AE5-274D-A0B3-7A8E16F5A2A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'mean of cheldren'!$M$3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cheldren'!$L$128:$L$130</c:f>
              <c:strCache>
                <c:ptCount val="3"/>
                <c:pt idx="0">
                  <c:v>&lt;30</c:v>
                </c:pt>
                <c:pt idx="1">
                  <c:v>30-39</c:v>
                </c:pt>
                <c:pt idx="2">
                  <c:v>40-49</c:v>
                </c:pt>
              </c:strCache>
            </c:strRef>
          </c:cat>
          <c:val>
            <c:numRef>
              <c:f>'mean of cheldren'!$M$128:$M$130</c:f>
              <c:numCache>
                <c:formatCode>0.00</c:formatCode>
                <c:ptCount val="3"/>
                <c:pt idx="0">
                  <c:v>0.87</c:v>
                </c:pt>
                <c:pt idx="1">
                  <c:v>1.17</c:v>
                </c:pt>
                <c:pt idx="2">
                  <c:v>1.62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9686-8043-9756-AFC57B397E47}"/>
            </c:ext>
          </c:extLst>
        </c:ser>
        <c:ser>
          <c:idx val="0"/>
          <c:order val="1"/>
          <c:tx>
            <c:strRef>
              <c:f>'mean of cheldren'!$N$3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cheldren'!$L$128:$L$130</c:f>
              <c:strCache>
                <c:ptCount val="3"/>
                <c:pt idx="0">
                  <c:v>&lt;30</c:v>
                </c:pt>
                <c:pt idx="1">
                  <c:v>30-39</c:v>
                </c:pt>
                <c:pt idx="2">
                  <c:v>40-49</c:v>
                </c:pt>
              </c:strCache>
            </c:strRef>
          </c:cat>
          <c:val>
            <c:numRef>
              <c:f>'mean of cheldren'!$N$128:$N$130</c:f>
              <c:numCache>
                <c:formatCode>0.00</c:formatCode>
                <c:ptCount val="3"/>
                <c:pt idx="0">
                  <c:v>1.85</c:v>
                </c:pt>
                <c:pt idx="1">
                  <c:v>1.96</c:v>
                </c:pt>
                <c:pt idx="2">
                  <c:v>2.3199999999999998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686-8043-9756-AFC57B397E4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'mean of cheldren'!$M$3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cheldren'!$L$134:$L$136</c:f>
              <c:strCache>
                <c:ptCount val="3"/>
                <c:pt idx="0">
                  <c:v>&lt;30</c:v>
                </c:pt>
                <c:pt idx="1">
                  <c:v>30-39</c:v>
                </c:pt>
                <c:pt idx="2">
                  <c:v>40-49</c:v>
                </c:pt>
              </c:strCache>
            </c:strRef>
          </c:cat>
          <c:val>
            <c:numRef>
              <c:f>'mean of cheldren'!$M$134:$M$136</c:f>
              <c:numCache>
                <c:formatCode>0.00</c:formatCode>
                <c:ptCount val="3"/>
                <c:pt idx="0">
                  <c:v>0.61</c:v>
                </c:pt>
                <c:pt idx="1">
                  <c:v>1.48</c:v>
                </c:pt>
                <c:pt idx="2">
                  <c:v>1.99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55D-194E-AB79-40E33E78F110}"/>
            </c:ext>
          </c:extLst>
        </c:ser>
        <c:ser>
          <c:idx val="0"/>
          <c:order val="1"/>
          <c:tx>
            <c:strRef>
              <c:f>'mean of cheldren'!$N$3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cheldren'!$L$134:$L$136</c:f>
              <c:strCache>
                <c:ptCount val="3"/>
                <c:pt idx="0">
                  <c:v>&lt;30</c:v>
                </c:pt>
                <c:pt idx="1">
                  <c:v>30-39</c:v>
                </c:pt>
                <c:pt idx="2">
                  <c:v>40-49</c:v>
                </c:pt>
              </c:strCache>
            </c:strRef>
          </c:cat>
          <c:val>
            <c:numRef>
              <c:f>'mean of cheldren'!$N$134:$N$136</c:f>
              <c:numCache>
                <c:formatCode>0.00</c:formatCode>
                <c:ptCount val="3"/>
                <c:pt idx="0">
                  <c:v>1.86</c:v>
                </c:pt>
                <c:pt idx="1">
                  <c:v>2.12</c:v>
                </c:pt>
                <c:pt idx="2">
                  <c:v>2.2999999999999998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55D-194E-AB79-40E33E78F11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 marL="0" marR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Mean Number of Desired versus Achieved Children by Age Group,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without formal contract</a:t>
            </a: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, Brazil, PNDS 2006 </a:t>
            </a:r>
          </a:p>
        </c:rich>
      </c:tx>
      <c:overlay val="0"/>
      <c:spPr>
        <a:noFill/>
        <a:ln>
          <a:noFill/>
        </a:ln>
        <a:effectLst/>
      </c:spPr>
    </c:title>
    <c:autoTitleDeleted val="0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'mean of cheldren'!$M$3</c:f>
              <c:strCache>
                <c:ptCount val="1"/>
                <c:pt idx="0">
                  <c:v>Mean actual number </c:v>
                </c:pt>
              </c:strCache>
            </c:strRef>
          </c:tx>
          <c:spPr>
            <a:solidFill>
              <a:srgbClr val="3A81E9"/>
            </a:solidFill>
            <a:ln>
              <a:solidFill>
                <a:srgbClr val="3A81E9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cheldren'!$L$140:$L$142</c:f>
              <c:strCache>
                <c:ptCount val="3"/>
                <c:pt idx="0">
                  <c:v>&lt;30</c:v>
                </c:pt>
                <c:pt idx="1">
                  <c:v>30-39</c:v>
                </c:pt>
                <c:pt idx="2">
                  <c:v>40-49</c:v>
                </c:pt>
              </c:strCache>
            </c:strRef>
          </c:cat>
          <c:val>
            <c:numRef>
              <c:f>'mean of cheldren'!$M$140:$M$142</c:f>
              <c:numCache>
                <c:formatCode>0.00</c:formatCode>
                <c:ptCount val="3"/>
                <c:pt idx="0">
                  <c:v>0.76</c:v>
                </c:pt>
                <c:pt idx="1">
                  <c:v>2.0699999999999998</c:v>
                </c:pt>
                <c:pt idx="2">
                  <c:v>2.66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19A-FD4E-8E6E-02FDCD735602}"/>
            </c:ext>
          </c:extLst>
        </c:ser>
        <c:ser>
          <c:idx val="0"/>
          <c:order val="1"/>
          <c:tx>
            <c:strRef>
              <c:f>'mean of cheldren'!$N$3</c:f>
              <c:strCache>
                <c:ptCount val="1"/>
                <c:pt idx="0">
                  <c:v>Difference</c:v>
                </c:pt>
              </c:strCache>
            </c:strRef>
          </c:tx>
          <c:spPr>
            <a:solidFill>
              <a:srgbClr val="5AB3FC"/>
            </a:solidFill>
            <a:ln>
              <a:solidFill>
                <a:srgbClr val="5AB3FC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'mean of cheldren'!$L$140:$L$142</c:f>
              <c:strCache>
                <c:ptCount val="3"/>
                <c:pt idx="0">
                  <c:v>&lt;30</c:v>
                </c:pt>
                <c:pt idx="1">
                  <c:v>30-39</c:v>
                </c:pt>
                <c:pt idx="2">
                  <c:v>40-49</c:v>
                </c:pt>
              </c:strCache>
            </c:strRef>
          </c:cat>
          <c:val>
            <c:numRef>
              <c:f>'mean of cheldren'!$N$140:$N$142</c:f>
              <c:numCache>
                <c:formatCode>0.00</c:formatCode>
                <c:ptCount val="3"/>
                <c:pt idx="0">
                  <c:v>1.89</c:v>
                </c:pt>
                <c:pt idx="1">
                  <c:v>2.11</c:v>
                </c:pt>
                <c:pt idx="2">
                  <c:v>2.5099999999999998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719A-FD4E-8E6E-02FDCD7356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062445039"/>
        <c:axId val="2062274415"/>
      </c:barChart>
      <c:catAx>
        <c:axId val="206244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274415"/>
        <c:crosses val="autoZero"/>
        <c:auto val="1"/>
        <c:lblAlgn val="ctr"/>
        <c:lblOffset val="100"/>
        <c:noMultiLvlLbl val="0"/>
      </c:catAx>
      <c:valAx>
        <c:axId val="2062274415"/>
        <c:scaling>
          <c:orientation val="minMax"/>
        </c:scaling>
        <c:delete val="0"/>
        <c:axPos val="l"/>
        <c:numFmt formatCode="0.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2062445039"/>
        <c:crosses val="autoZero"/>
        <c:crossBetween val="between"/>
      </c:valAx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legend>
    <c:plotVisOnly val="1"/>
    <c:dispBlanksAs val="gap"/>
    <c:showDLblsOverMax val="0"/>
    <c:extLst/>
  </c:chart>
  <c:spPr>
    <a:solidFill>
      <a:schemeClr val="bg1"/>
    </a:solidFill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Coef. Public servants - y_desired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regression!$C$26</c:f>
              <c:strCache>
                <c:ptCount val="1"/>
                <c:pt idx="0">
                  <c:v>Coef. Public servants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regression!$A$27:$A$31</c:f>
              <c:strCache>
                <c:ptCount val="5"/>
                <c:pt idx="0">
                  <c:v>1. Group</c:v>
                </c:pt>
                <c:pt idx="1">
                  <c:v>2. + Education</c:v>
                </c:pt>
                <c:pt idx="2">
                  <c:v>3. + Marital status</c:v>
                </c:pt>
                <c:pt idx="3">
                  <c:v>4. + Age</c:v>
                </c:pt>
                <c:pt idx="4">
                  <c:v>5. + Region</c:v>
                </c:pt>
              </c:strCache>
            </c:strRef>
          </c:cat>
          <c:val>
            <c:numRef>
              <c:f>regression!$C$27:$C$31</c:f>
              <c:numCache>
                <c:formatCode>General</c:formatCode>
                <c:ptCount val="5"/>
                <c:pt idx="0">
                  <c:v>0.38500000000000001</c:v>
                </c:pt>
                <c:pt idx="1">
                  <c:v>0.38800000000000001</c:v>
                </c:pt>
                <c:pt idx="2">
                  <c:v>0.29799999999999999</c:v>
                </c:pt>
                <c:pt idx="3">
                  <c:v>0.186</c:v>
                </c:pt>
                <c:pt idx="4">
                  <c:v>0.14399999999999999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ACB-D94C-95BD-FB612DE250E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47427311"/>
        <c:axId val="1335682704"/>
      </c:barChart>
      <c:catAx>
        <c:axId val="104742731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35682704"/>
        <c:crosses val="autoZero"/>
        <c:auto val="1"/>
        <c:lblAlgn val="ctr"/>
        <c:lblOffset val="100"/>
        <c:noMultiLvlLbl val="0"/>
      </c:catAx>
      <c:valAx>
        <c:axId val="133568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42731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Coef. Public servants - y_desired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regression!$C$35</c:f>
              <c:strCache>
                <c:ptCount val="1"/>
                <c:pt idx="0">
                  <c:v>Coef. Public servants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regression!$A$36:$A$40</c:f>
              <c:strCache>
                <c:ptCount val="5"/>
                <c:pt idx="0">
                  <c:v>1. Group</c:v>
                </c:pt>
                <c:pt idx="1">
                  <c:v>2. + Education</c:v>
                </c:pt>
                <c:pt idx="2">
                  <c:v>3. + Marital status</c:v>
                </c:pt>
                <c:pt idx="3">
                  <c:v>4. + Age</c:v>
                </c:pt>
                <c:pt idx="4">
                  <c:v>5. + Region</c:v>
                </c:pt>
              </c:strCache>
            </c:strRef>
          </c:cat>
          <c:val>
            <c:numRef>
              <c:f>regression!$C$36:$C$40</c:f>
              <c:numCache>
                <c:formatCode>General</c:formatCode>
                <c:ptCount val="5"/>
                <c:pt idx="0">
                  <c:v>0.28499999999999998</c:v>
                </c:pt>
                <c:pt idx="1">
                  <c:v>0.25700000000000001</c:v>
                </c:pt>
                <c:pt idx="2">
                  <c:v>0.219</c:v>
                </c:pt>
                <c:pt idx="3">
                  <c:v>0.193</c:v>
                </c:pt>
                <c:pt idx="4">
                  <c:v>0.15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3E5-1344-98CE-026F029A506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19912816"/>
        <c:axId val="1226378063"/>
      </c:barChart>
      <c:catAx>
        <c:axId val="1319912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226378063"/>
        <c:crosses val="autoZero"/>
        <c:auto val="1"/>
        <c:lblAlgn val="ctr"/>
        <c:lblOffset val="100"/>
        <c:noMultiLvlLbl val="0"/>
      </c:catAx>
      <c:valAx>
        <c:axId val="122637806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199128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regression!$C$44</c:f>
              <c:strCache>
                <c:ptCount val="1"/>
                <c:pt idx="0">
                  <c:v>Coef. Public servants of a second child among mothers of one child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regression!$A$45:$A$49</c:f>
              <c:strCache>
                <c:ptCount val="5"/>
                <c:pt idx="0">
                  <c:v>1. Group</c:v>
                </c:pt>
                <c:pt idx="1">
                  <c:v>2. + Education</c:v>
                </c:pt>
                <c:pt idx="2">
                  <c:v>3. + Marital status</c:v>
                </c:pt>
                <c:pt idx="3">
                  <c:v>4. + Age</c:v>
                </c:pt>
                <c:pt idx="4">
                  <c:v>5. + Region</c:v>
                </c:pt>
              </c:strCache>
            </c:strRef>
          </c:cat>
          <c:val>
            <c:numRef>
              <c:f>regression!$C$45:$C$49</c:f>
              <c:numCache>
                <c:formatCode>General</c:formatCode>
                <c:ptCount val="5"/>
                <c:pt idx="0">
                  <c:v>0.13200000000000001</c:v>
                </c:pt>
                <c:pt idx="1">
                  <c:v>4.7E-2</c:v>
                </c:pt>
                <c:pt idx="2">
                  <c:v>7.9000000000000001E-2</c:v>
                </c:pt>
                <c:pt idx="3">
                  <c:v>0.11700000000000001</c:v>
                </c:pt>
                <c:pt idx="4">
                  <c:v>9.7000000000000003E-2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84-8442-8710-C4AED3088A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265887"/>
        <c:axId val="1380267599"/>
      </c:barChart>
      <c:catAx>
        <c:axId val="1380265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0267599"/>
        <c:crosses val="autoZero"/>
        <c:auto val="1"/>
        <c:lblAlgn val="ctr"/>
        <c:lblOffset val="100"/>
        <c:noMultiLvlLbl val="0"/>
      </c:catAx>
      <c:valAx>
        <c:axId val="13802675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0265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regression!$C$52</c:f>
              <c:strCache>
                <c:ptCount val="1"/>
                <c:pt idx="0">
                  <c:v>Coef. Public servants of a third child among mothers of two child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regression!$A$53:$A$57</c:f>
              <c:strCache>
                <c:ptCount val="5"/>
                <c:pt idx="0">
                  <c:v>1. Group</c:v>
                </c:pt>
                <c:pt idx="1">
                  <c:v>2. + Education</c:v>
                </c:pt>
                <c:pt idx="2">
                  <c:v>3. + Marital status</c:v>
                </c:pt>
                <c:pt idx="3">
                  <c:v>4. + Age</c:v>
                </c:pt>
                <c:pt idx="4">
                  <c:v>5. + Region</c:v>
                </c:pt>
              </c:strCache>
            </c:strRef>
          </c:cat>
          <c:val>
            <c:numRef>
              <c:f>regression!$C$53:$C$57</c:f>
              <c:numCache>
                <c:formatCode>General</c:formatCode>
                <c:ptCount val="5"/>
                <c:pt idx="0">
                  <c:v>0.378</c:v>
                </c:pt>
                <c:pt idx="1">
                  <c:v>0.379</c:v>
                </c:pt>
                <c:pt idx="2">
                  <c:v>0.35299999999999998</c:v>
                </c:pt>
                <c:pt idx="3">
                  <c:v>0.34</c:v>
                </c:pt>
                <c:pt idx="4">
                  <c:v>0.28000000000000003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9EA-4244-95F6-0F874F8BB4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244799"/>
        <c:axId val="1380246511"/>
      </c:barChart>
      <c:catAx>
        <c:axId val="13802447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0246511"/>
        <c:crosses val="autoZero"/>
        <c:auto val="1"/>
        <c:lblAlgn val="ctr"/>
        <c:lblOffset val="100"/>
        <c:noMultiLvlLbl val="0"/>
      </c:catAx>
      <c:valAx>
        <c:axId val="1380246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02447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regression!$C$61</c:f>
              <c:strCache>
                <c:ptCount val="1"/>
                <c:pt idx="0">
                  <c:v>Coef. Public servants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regression!$A$62:$A$66</c:f>
              <c:strCache>
                <c:ptCount val="4"/>
                <c:pt idx="0">
                  <c:v>1. Group</c:v>
                </c:pt>
                <c:pt idx="1">
                  <c:v>2. + Education</c:v>
                </c:pt>
                <c:pt idx="2">
                  <c:v>3. + Marital status</c:v>
                </c:pt>
                <c:pt idx="3">
                  <c:v>5. + Region</c:v>
                </c:pt>
              </c:strCache>
            </c:strRef>
          </c:cat>
          <c:val>
            <c:numRef>
              <c:f>regression!$C$62:$C$66</c:f>
              <c:numCache>
                <c:formatCode>General</c:formatCode>
                <c:ptCount val="4"/>
                <c:pt idx="0">
                  <c:v>-0.2</c:v>
                </c:pt>
                <c:pt idx="1">
                  <c:v>0.25700000000000001</c:v>
                </c:pt>
                <c:pt idx="2">
                  <c:v>0.219</c:v>
                </c:pt>
                <c:pt idx="3">
                  <c:v>0.18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324-5747-877B-ED4072A6A1E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347599"/>
        <c:axId val="1047125055"/>
      </c:barChart>
      <c:catAx>
        <c:axId val="138034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125055"/>
        <c:crosses val="autoZero"/>
        <c:auto val="1"/>
        <c:lblAlgn val="ctr"/>
        <c:lblOffset val="100"/>
        <c:noMultiLvlLbl val="0"/>
      </c:catAx>
      <c:valAx>
        <c:axId val="104712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034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regression!$C$61</c:f>
              <c:strCache>
                <c:ptCount val="1"/>
                <c:pt idx="0">
                  <c:v>Coef. Public servants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regression!$A$71:$A$75</c:f>
              <c:strCache>
                <c:ptCount val="4"/>
                <c:pt idx="0">
                  <c:v>1. Group</c:v>
                </c:pt>
                <c:pt idx="1">
                  <c:v>2. + Education</c:v>
                </c:pt>
                <c:pt idx="2">
                  <c:v>3. + Marital status</c:v>
                </c:pt>
                <c:pt idx="3">
                  <c:v>5. + Region</c:v>
                </c:pt>
              </c:strCache>
            </c:strRef>
          </c:cat>
          <c:val>
            <c:numRef>
              <c:f>regression!$C$71:$C$75</c:f>
              <c:numCache>
                <c:formatCode>General</c:formatCode>
                <c:ptCount val="4"/>
                <c:pt idx="0">
                  <c:v>-0.193</c:v>
                </c:pt>
                <c:pt idx="1">
                  <c:v>0.16500000000000001</c:v>
                </c:pt>
                <c:pt idx="2">
                  <c:v>0.20699999999999999</c:v>
                </c:pt>
                <c:pt idx="3">
                  <c:v>7.9000000000000001E-2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D3E-5342-9B7F-B67D9CE29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380347599"/>
        <c:axId val="1047125055"/>
      </c:barChart>
      <c:catAx>
        <c:axId val="138034759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047125055"/>
        <c:crosses val="autoZero"/>
        <c:auto val="1"/>
        <c:lblAlgn val="ctr"/>
        <c:lblOffset val="100"/>
        <c:noMultiLvlLbl val="0"/>
      </c:catAx>
      <c:valAx>
        <c:axId val="10471250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380347599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5.xml"/><Relationship Id="rId2" Type="http://schemas.openxmlformats.org/officeDocument/2006/relationships/chart" Target="../charts/chart4.xml"/><Relationship Id="rId1" Type="http://schemas.openxmlformats.org/officeDocument/2006/relationships/chart" Target="../charts/chart3.xml"/><Relationship Id="rId4" Type="http://schemas.openxmlformats.org/officeDocument/2006/relationships/chart" Target="../charts/chart6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9.xml"/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2.xml"/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5.xml"/><Relationship Id="rId2" Type="http://schemas.openxmlformats.org/officeDocument/2006/relationships/chart" Target="../charts/chart14.xml"/><Relationship Id="rId1" Type="http://schemas.openxmlformats.org/officeDocument/2006/relationships/chart" Target="../charts/chart13.xml"/><Relationship Id="rId4" Type="http://schemas.openxmlformats.org/officeDocument/2006/relationships/chart" Target="../charts/chart16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emf"/><Relationship Id="rId1" Type="http://schemas.openxmlformats.org/officeDocument/2006/relationships/image" Target="../media/image1.emf"/><Relationship Id="rId5" Type="http://schemas.openxmlformats.org/officeDocument/2006/relationships/image" Target="../media/image5.png"/><Relationship Id="rId4" Type="http://schemas.openxmlformats.org/officeDocument/2006/relationships/image" Target="../media/image4.emf"/></Relationships>
</file>

<file path=xl/drawings/_rels/drawing7.xml.rels><?xml version="1.0" encoding="UTF-8" standalone="yes"?>
<Relationships xmlns="http://schemas.openxmlformats.org/package/2006/relationships"><Relationship Id="rId8" Type="http://schemas.openxmlformats.org/officeDocument/2006/relationships/chart" Target="../charts/chart24.xml"/><Relationship Id="rId13" Type="http://schemas.openxmlformats.org/officeDocument/2006/relationships/chart" Target="../charts/chart29.xml"/><Relationship Id="rId3" Type="http://schemas.openxmlformats.org/officeDocument/2006/relationships/chart" Target="../charts/chart19.xml"/><Relationship Id="rId7" Type="http://schemas.openxmlformats.org/officeDocument/2006/relationships/chart" Target="../charts/chart23.xml"/><Relationship Id="rId12" Type="http://schemas.openxmlformats.org/officeDocument/2006/relationships/chart" Target="../charts/chart28.xml"/><Relationship Id="rId2" Type="http://schemas.openxmlformats.org/officeDocument/2006/relationships/chart" Target="../charts/chart18.xml"/><Relationship Id="rId16" Type="http://schemas.openxmlformats.org/officeDocument/2006/relationships/chart" Target="../charts/chart32.xml"/><Relationship Id="rId1" Type="http://schemas.openxmlformats.org/officeDocument/2006/relationships/chart" Target="../charts/chart17.xml"/><Relationship Id="rId6" Type="http://schemas.openxmlformats.org/officeDocument/2006/relationships/chart" Target="../charts/chart22.xml"/><Relationship Id="rId11" Type="http://schemas.openxmlformats.org/officeDocument/2006/relationships/chart" Target="../charts/chart27.xml"/><Relationship Id="rId5" Type="http://schemas.openxmlformats.org/officeDocument/2006/relationships/chart" Target="../charts/chart21.xml"/><Relationship Id="rId15" Type="http://schemas.openxmlformats.org/officeDocument/2006/relationships/chart" Target="../charts/chart31.xml"/><Relationship Id="rId10" Type="http://schemas.openxmlformats.org/officeDocument/2006/relationships/chart" Target="../charts/chart26.xml"/><Relationship Id="rId4" Type="http://schemas.openxmlformats.org/officeDocument/2006/relationships/chart" Target="../charts/chart20.xml"/><Relationship Id="rId9" Type="http://schemas.openxmlformats.org/officeDocument/2006/relationships/chart" Target="../charts/chart25.xml"/><Relationship Id="rId14" Type="http://schemas.openxmlformats.org/officeDocument/2006/relationships/chart" Target="../charts/chart30.xml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4.xml"/><Relationship Id="rId7" Type="http://schemas.openxmlformats.org/officeDocument/2006/relationships/chart" Target="../charts/chart38.xml"/><Relationship Id="rId2" Type="http://schemas.openxmlformats.org/officeDocument/2006/relationships/chart" Target="../charts/chart33.xml"/><Relationship Id="rId1" Type="http://schemas.openxmlformats.org/officeDocument/2006/relationships/image" Target="../media/image6.png"/><Relationship Id="rId6" Type="http://schemas.openxmlformats.org/officeDocument/2006/relationships/chart" Target="../charts/chart37.xml"/><Relationship Id="rId5" Type="http://schemas.openxmlformats.org/officeDocument/2006/relationships/chart" Target="../charts/chart36.xml"/><Relationship Id="rId4" Type="http://schemas.openxmlformats.org/officeDocument/2006/relationships/chart" Target="../charts/chart3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463550</xdr:colOff>
      <xdr:row>26</xdr:row>
      <xdr:rowOff>50800</xdr:rowOff>
    </xdr:from>
    <xdr:to>
      <xdr:col>7</xdr:col>
      <xdr:colOff>69850</xdr:colOff>
      <xdr:row>40</xdr:row>
      <xdr:rowOff>114300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E75E1D4-4B4D-6845-B496-5745861D1EF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24</xdr:col>
      <xdr:colOff>463550</xdr:colOff>
      <xdr:row>26</xdr:row>
      <xdr:rowOff>50800</xdr:rowOff>
    </xdr:from>
    <xdr:to>
      <xdr:col>31</xdr:col>
      <xdr:colOff>69850</xdr:colOff>
      <xdr:row>40</xdr:row>
      <xdr:rowOff>114300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18752CF-D31D-9942-A153-0E49E377EC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558800</xdr:colOff>
      <xdr:row>72</xdr:row>
      <xdr:rowOff>50800</xdr:rowOff>
    </xdr:from>
    <xdr:to>
      <xdr:col>16</xdr:col>
      <xdr:colOff>0</xdr:colOff>
      <xdr:row>88</xdr:row>
      <xdr:rowOff>63500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956BE324-AB6D-7B20-A436-0DBEDE5B3D7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165100</xdr:colOff>
      <xdr:row>89</xdr:row>
      <xdr:rowOff>63500</xdr:rowOff>
    </xdr:from>
    <xdr:to>
      <xdr:col>15</xdr:col>
      <xdr:colOff>431800</xdr:colOff>
      <xdr:row>105</xdr:row>
      <xdr:rowOff>76200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DFC997F-105F-D749-9040-4FBDF626930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431800</xdr:colOff>
      <xdr:row>72</xdr:row>
      <xdr:rowOff>63500</xdr:rowOff>
    </xdr:from>
    <xdr:to>
      <xdr:col>22</xdr:col>
      <xdr:colOff>698500</xdr:colOff>
      <xdr:row>88</xdr:row>
      <xdr:rowOff>76200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C2CCD2C-6392-8547-8130-80A7531BC55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16</xdr:col>
      <xdr:colOff>19050</xdr:colOff>
      <xdr:row>88</xdr:row>
      <xdr:rowOff>158750</xdr:rowOff>
    </xdr:from>
    <xdr:to>
      <xdr:col>22</xdr:col>
      <xdr:colOff>381000</xdr:colOff>
      <xdr:row>105</xdr:row>
      <xdr:rowOff>12700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9742254D-D3E4-C516-D024-E35D09C907A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158750</xdr:colOff>
      <xdr:row>84</xdr:row>
      <xdr:rowOff>19050</xdr:rowOff>
    </xdr:from>
    <xdr:to>
      <xdr:col>6</xdr:col>
      <xdr:colOff>603250</xdr:colOff>
      <xdr:row>97</xdr:row>
      <xdr:rowOff>120650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916D5C04-21D0-7B9F-0ECC-95788C8B41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660400</xdr:colOff>
      <xdr:row>82</xdr:row>
      <xdr:rowOff>25400</xdr:rowOff>
    </xdr:from>
    <xdr:to>
      <xdr:col>13</xdr:col>
      <xdr:colOff>279400</xdr:colOff>
      <xdr:row>95</xdr:row>
      <xdr:rowOff>127000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676AFCB-A22A-B248-BB3D-CE41028F0E5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342900</xdr:colOff>
      <xdr:row>82</xdr:row>
      <xdr:rowOff>25400</xdr:rowOff>
    </xdr:from>
    <xdr:to>
      <xdr:col>18</xdr:col>
      <xdr:colOff>482600</xdr:colOff>
      <xdr:row>95</xdr:row>
      <xdr:rowOff>127000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D69FC29A-1D45-0842-90CF-A2EF2205DD0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292100</xdr:colOff>
      <xdr:row>36</xdr:row>
      <xdr:rowOff>152400</xdr:rowOff>
    </xdr:from>
    <xdr:to>
      <xdr:col>9</xdr:col>
      <xdr:colOff>876300</xdr:colOff>
      <xdr:row>54</xdr:row>
      <xdr:rowOff>152400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D1235B4-11C6-0641-AFB8-C86A949772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876300</xdr:colOff>
      <xdr:row>36</xdr:row>
      <xdr:rowOff>152400</xdr:rowOff>
    </xdr:from>
    <xdr:to>
      <xdr:col>17</xdr:col>
      <xdr:colOff>165100</xdr:colOff>
      <xdr:row>54</xdr:row>
      <xdr:rowOff>152400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76C5B27-3DF4-0D4F-AC76-8DC42AD2C6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9</xdr:col>
      <xdr:colOff>939800</xdr:colOff>
      <xdr:row>54</xdr:row>
      <xdr:rowOff>127000</xdr:rowOff>
    </xdr:from>
    <xdr:to>
      <xdr:col>17</xdr:col>
      <xdr:colOff>228600</xdr:colOff>
      <xdr:row>72</xdr:row>
      <xdr:rowOff>127000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D3D16AC8-A2B8-F74D-9220-4E0F4FDAC7B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552450</xdr:colOff>
      <xdr:row>4</xdr:row>
      <xdr:rowOff>71582</xdr:rowOff>
    </xdr:from>
    <xdr:to>
      <xdr:col>19</xdr:col>
      <xdr:colOff>527050</xdr:colOff>
      <xdr:row>23</xdr:row>
      <xdr:rowOff>104602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5BA26827-0CB1-2BAB-3113-6A6DA6C3D34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356753</xdr:colOff>
      <xdr:row>4</xdr:row>
      <xdr:rowOff>71581</xdr:rowOff>
    </xdr:from>
    <xdr:to>
      <xdr:col>29</xdr:col>
      <xdr:colOff>331353</xdr:colOff>
      <xdr:row>23</xdr:row>
      <xdr:rowOff>104601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31FF220B-8FB0-1B4D-93FF-521B2306F9A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730250</xdr:colOff>
      <xdr:row>26</xdr:row>
      <xdr:rowOff>57150</xdr:rowOff>
    </xdr:from>
    <xdr:to>
      <xdr:col>17</xdr:col>
      <xdr:colOff>215900</xdr:colOff>
      <xdr:row>44</xdr:row>
      <xdr:rowOff>139700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F41CD053-3373-3A56-1726-63AB1AB18E8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381000</xdr:colOff>
      <xdr:row>17</xdr:row>
      <xdr:rowOff>139700</xdr:rowOff>
    </xdr:from>
    <xdr:to>
      <xdr:col>19</xdr:col>
      <xdr:colOff>355600</xdr:colOff>
      <xdr:row>34</xdr:row>
      <xdr:rowOff>160020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7D6E38-548B-F846-AF31-4DA90D5AF4C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0</xdr:colOff>
      <xdr:row>4</xdr:row>
      <xdr:rowOff>0</xdr:rowOff>
    </xdr:from>
    <xdr:to>
      <xdr:col>13</xdr:col>
      <xdr:colOff>76200</xdr:colOff>
      <xdr:row>11</xdr:row>
      <xdr:rowOff>12700</xdr:rowOff>
    </xdr:to>
    <xdr:pic>
      <xdr:nvPicPr>
        <xdr:cNvPr id="13" name="Imagem 12">
          <a:extLst>
            <a:ext uri="{FF2B5EF4-FFF2-40B4-BE49-F238E27FC236}">
              <a16:creationId xmlns:a16="http://schemas.microsoft.com/office/drawing/2014/main" id="{C670EC42-6B6F-9834-5F5D-89B61E5F4BC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451600" y="812800"/>
          <a:ext cx="4813300" cy="166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127000</xdr:colOff>
      <xdr:row>4</xdr:row>
      <xdr:rowOff>0</xdr:rowOff>
    </xdr:from>
    <xdr:to>
      <xdr:col>18</xdr:col>
      <xdr:colOff>812800</xdr:colOff>
      <xdr:row>11</xdr:row>
      <xdr:rowOff>12700</xdr:rowOff>
    </xdr:to>
    <xdr:pic>
      <xdr:nvPicPr>
        <xdr:cNvPr id="14" name="Imagem 13">
          <a:extLst>
            <a:ext uri="{FF2B5EF4-FFF2-40B4-BE49-F238E27FC236}">
              <a16:creationId xmlns:a16="http://schemas.microsoft.com/office/drawing/2014/main" id="{2A63DEF6-DC68-9CD2-9847-2699EA558F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1315700" y="812800"/>
          <a:ext cx="4813300" cy="1663700"/>
        </a:xfrm>
        <a:prstGeom prst="rect">
          <a:avLst/>
        </a:prstGeom>
      </xdr:spPr>
    </xdr:pic>
    <xdr:clientData/>
  </xdr:twoCellAnchor>
  <xdr:twoCellAnchor editAs="oneCell">
    <xdr:from>
      <xdr:col>8</xdr:col>
      <xdr:colOff>12700</xdr:colOff>
      <xdr:row>11</xdr:row>
      <xdr:rowOff>50800</xdr:rowOff>
    </xdr:from>
    <xdr:to>
      <xdr:col>13</xdr:col>
      <xdr:colOff>88900</xdr:colOff>
      <xdr:row>18</xdr:row>
      <xdr:rowOff>63500</xdr:rowOff>
    </xdr:to>
    <xdr:pic>
      <xdr:nvPicPr>
        <xdr:cNvPr id="15" name="Imagem 14">
          <a:extLst>
            <a:ext uri="{FF2B5EF4-FFF2-40B4-BE49-F238E27FC236}">
              <a16:creationId xmlns:a16="http://schemas.microsoft.com/office/drawing/2014/main" id="{11983327-A988-DC1C-653E-086F5DADEB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464300" y="2514600"/>
          <a:ext cx="4813300" cy="1663700"/>
        </a:xfrm>
        <a:prstGeom prst="rect">
          <a:avLst/>
        </a:prstGeom>
      </xdr:spPr>
    </xdr:pic>
    <xdr:clientData/>
  </xdr:twoCellAnchor>
  <xdr:twoCellAnchor editAs="oneCell">
    <xdr:from>
      <xdr:col>13</xdr:col>
      <xdr:colOff>127000</xdr:colOff>
      <xdr:row>11</xdr:row>
      <xdr:rowOff>50800</xdr:rowOff>
    </xdr:from>
    <xdr:to>
      <xdr:col>18</xdr:col>
      <xdr:colOff>812800</xdr:colOff>
      <xdr:row>18</xdr:row>
      <xdr:rowOff>63500</xdr:rowOff>
    </xdr:to>
    <xdr:pic>
      <xdr:nvPicPr>
        <xdr:cNvPr id="16" name="Imagem 15">
          <a:extLst>
            <a:ext uri="{FF2B5EF4-FFF2-40B4-BE49-F238E27FC236}">
              <a16:creationId xmlns:a16="http://schemas.microsoft.com/office/drawing/2014/main" id="{EF3986D0-DE34-A1BB-19BF-4BD09E5C5E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1315700" y="2514600"/>
          <a:ext cx="4813300" cy="1663700"/>
        </a:xfrm>
        <a:prstGeom prst="rect">
          <a:avLst/>
        </a:prstGeom>
      </xdr:spPr>
    </xdr:pic>
    <xdr:clientData/>
  </xdr:twoCellAnchor>
  <xdr:twoCellAnchor editAs="oneCell">
    <xdr:from>
      <xdr:col>8</xdr:col>
      <xdr:colOff>419100</xdr:colOff>
      <xdr:row>20</xdr:row>
      <xdr:rowOff>63500</xdr:rowOff>
    </xdr:from>
    <xdr:to>
      <xdr:col>17</xdr:col>
      <xdr:colOff>152400</xdr:colOff>
      <xdr:row>34</xdr:row>
      <xdr:rowOff>332968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BA9F9A9B-1F04-F24C-F09C-EEDC583A80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6870700" y="4584700"/>
          <a:ext cx="7772400" cy="3342868"/>
        </a:xfrm>
        <a:prstGeom prst="rect">
          <a:avLst/>
        </a:prstGeom>
      </xdr:spPr>
    </xdr:pic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219213</xdr:colOff>
      <xdr:row>0</xdr:row>
      <xdr:rowOff>122122</xdr:rowOff>
    </xdr:from>
    <xdr:to>
      <xdr:col>22</xdr:col>
      <xdr:colOff>416769</xdr:colOff>
      <xdr:row>19</xdr:row>
      <xdr:rowOff>37455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E222E5B-55F0-35C6-B5CD-25D87A6035C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22</xdr:col>
      <xdr:colOff>411123</xdr:colOff>
      <xdr:row>0</xdr:row>
      <xdr:rowOff>122122</xdr:rowOff>
    </xdr:from>
    <xdr:to>
      <xdr:col>30</xdr:col>
      <xdr:colOff>608678</xdr:colOff>
      <xdr:row>19</xdr:row>
      <xdr:rowOff>37455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AA421DB4-88DA-864E-B7B4-C040360F28D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14</xdr:col>
      <xdr:colOff>219213</xdr:colOff>
      <xdr:row>18</xdr:row>
      <xdr:rowOff>121355</xdr:rowOff>
    </xdr:from>
    <xdr:to>
      <xdr:col>22</xdr:col>
      <xdr:colOff>416769</xdr:colOff>
      <xdr:row>37</xdr:row>
      <xdr:rowOff>36688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8866C62C-AD67-E245-918E-EAD33A425A1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22</xdr:col>
      <xdr:colOff>411123</xdr:colOff>
      <xdr:row>18</xdr:row>
      <xdr:rowOff>121355</xdr:rowOff>
    </xdr:from>
    <xdr:to>
      <xdr:col>30</xdr:col>
      <xdr:colOff>608678</xdr:colOff>
      <xdr:row>37</xdr:row>
      <xdr:rowOff>36688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FF37557A-527A-A041-99AE-E014A4F2F5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14</xdr:col>
      <xdr:colOff>219213</xdr:colOff>
      <xdr:row>41</xdr:row>
      <xdr:rowOff>56445</xdr:rowOff>
    </xdr:from>
    <xdr:to>
      <xdr:col>22</xdr:col>
      <xdr:colOff>416769</xdr:colOff>
      <xdr:row>57</xdr:row>
      <xdr:rowOff>564445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8A1721F-F1CF-BB45-B8B9-6EC587CE13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22</xdr:col>
      <xdr:colOff>411123</xdr:colOff>
      <xdr:row>41</xdr:row>
      <xdr:rowOff>56445</xdr:rowOff>
    </xdr:from>
    <xdr:to>
      <xdr:col>30</xdr:col>
      <xdr:colOff>608678</xdr:colOff>
      <xdr:row>57</xdr:row>
      <xdr:rowOff>564445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A808396-AEDF-3041-A31C-161B50D7C8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14</xdr:col>
      <xdr:colOff>219213</xdr:colOff>
      <xdr:row>57</xdr:row>
      <xdr:rowOff>564444</xdr:rowOff>
    </xdr:from>
    <xdr:to>
      <xdr:col>22</xdr:col>
      <xdr:colOff>416769</xdr:colOff>
      <xdr:row>78</xdr:row>
      <xdr:rowOff>84666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CEF4AFED-41DF-8843-ADD2-2DCCB129B9A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22</xdr:col>
      <xdr:colOff>411123</xdr:colOff>
      <xdr:row>57</xdr:row>
      <xdr:rowOff>564444</xdr:rowOff>
    </xdr:from>
    <xdr:to>
      <xdr:col>30</xdr:col>
      <xdr:colOff>608678</xdr:colOff>
      <xdr:row>78</xdr:row>
      <xdr:rowOff>84666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F8861DDD-5845-A045-AD5B-E392EA25E8B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  <xdr:twoCellAnchor>
    <xdr:from>
      <xdr:col>14</xdr:col>
      <xdr:colOff>219213</xdr:colOff>
      <xdr:row>79</xdr:row>
      <xdr:rowOff>98778</xdr:rowOff>
    </xdr:from>
    <xdr:to>
      <xdr:col>22</xdr:col>
      <xdr:colOff>416769</xdr:colOff>
      <xdr:row>95</xdr:row>
      <xdr:rowOff>155222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85446130-703E-7346-9958-3235E8CF73B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9"/>
        </a:graphicData>
      </a:graphic>
    </xdr:graphicFrame>
    <xdr:clientData/>
  </xdr:twoCellAnchor>
  <xdr:twoCellAnchor>
    <xdr:from>
      <xdr:col>22</xdr:col>
      <xdr:colOff>411123</xdr:colOff>
      <xdr:row>79</xdr:row>
      <xdr:rowOff>98778</xdr:rowOff>
    </xdr:from>
    <xdr:to>
      <xdr:col>30</xdr:col>
      <xdr:colOff>608678</xdr:colOff>
      <xdr:row>95</xdr:row>
      <xdr:rowOff>155222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F3923E7C-B99E-AA47-B30E-8530068C754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0"/>
        </a:graphicData>
      </a:graphic>
    </xdr:graphicFrame>
    <xdr:clientData/>
  </xdr:twoCellAnchor>
  <xdr:twoCellAnchor>
    <xdr:from>
      <xdr:col>14</xdr:col>
      <xdr:colOff>219213</xdr:colOff>
      <xdr:row>95</xdr:row>
      <xdr:rowOff>169333</xdr:rowOff>
    </xdr:from>
    <xdr:to>
      <xdr:col>22</xdr:col>
      <xdr:colOff>416769</xdr:colOff>
      <xdr:row>116</xdr:row>
      <xdr:rowOff>141111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5C71036C-37CC-874E-859D-412A5ABA50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22</xdr:col>
      <xdr:colOff>411123</xdr:colOff>
      <xdr:row>95</xdr:row>
      <xdr:rowOff>169333</xdr:rowOff>
    </xdr:from>
    <xdr:to>
      <xdr:col>30</xdr:col>
      <xdr:colOff>608678</xdr:colOff>
      <xdr:row>116</xdr:row>
      <xdr:rowOff>141111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FFE0E680-FC23-0045-B680-5558FAD40E4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15</xdr:col>
      <xdr:colOff>0</xdr:colOff>
      <xdr:row>120</xdr:row>
      <xdr:rowOff>0</xdr:rowOff>
    </xdr:from>
    <xdr:to>
      <xdr:col>23</xdr:col>
      <xdr:colOff>197555</xdr:colOff>
      <xdr:row>136</xdr:row>
      <xdr:rowOff>56444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3FDF12C1-7056-8245-B737-7282337716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23</xdr:col>
      <xdr:colOff>191909</xdr:colOff>
      <xdr:row>120</xdr:row>
      <xdr:rowOff>0</xdr:rowOff>
    </xdr:from>
    <xdr:to>
      <xdr:col>31</xdr:col>
      <xdr:colOff>389465</xdr:colOff>
      <xdr:row>136</xdr:row>
      <xdr:rowOff>56444</xdr:rowOff>
    </xdr:to>
    <xdr:graphicFrame macro="">
      <xdr:nvGraphicFramePr>
        <xdr:cNvPr id="11" name="Gráfico 10">
          <a:extLst>
            <a:ext uri="{FF2B5EF4-FFF2-40B4-BE49-F238E27FC236}">
              <a16:creationId xmlns:a16="http://schemas.microsoft.com/office/drawing/2014/main" id="{8FBAB9DE-AB95-6E4E-93ED-74F058D6793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15</xdr:col>
      <xdr:colOff>0</xdr:colOff>
      <xdr:row>136</xdr:row>
      <xdr:rowOff>70555</xdr:rowOff>
    </xdr:from>
    <xdr:to>
      <xdr:col>23</xdr:col>
      <xdr:colOff>197555</xdr:colOff>
      <xdr:row>157</xdr:row>
      <xdr:rowOff>42333</xdr:rowOff>
    </xdr:to>
    <xdr:graphicFrame macro="">
      <xdr:nvGraphicFramePr>
        <xdr:cNvPr id="12" name="Gráfico 11">
          <a:extLst>
            <a:ext uri="{FF2B5EF4-FFF2-40B4-BE49-F238E27FC236}">
              <a16:creationId xmlns:a16="http://schemas.microsoft.com/office/drawing/2014/main" id="{035F99B6-3303-3947-B4D8-FB23591657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23</xdr:col>
      <xdr:colOff>191909</xdr:colOff>
      <xdr:row>136</xdr:row>
      <xdr:rowOff>70555</xdr:rowOff>
    </xdr:from>
    <xdr:to>
      <xdr:col>31</xdr:col>
      <xdr:colOff>389465</xdr:colOff>
      <xdr:row>157</xdr:row>
      <xdr:rowOff>42333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4BA5E1A4-CA5B-534B-A1A6-13425FFCCC6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oneCell">
    <xdr:from>
      <xdr:col>14</xdr:col>
      <xdr:colOff>711200</xdr:colOff>
      <xdr:row>2</xdr:row>
      <xdr:rowOff>0</xdr:rowOff>
    </xdr:from>
    <xdr:to>
      <xdr:col>24</xdr:col>
      <xdr:colOff>228601</xdr:colOff>
      <xdr:row>10</xdr:row>
      <xdr:rowOff>136568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96593CA9-68DE-6BE2-6527-5B054883EE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2268200" y="406400"/>
          <a:ext cx="7772400" cy="3540168"/>
        </a:xfrm>
        <a:prstGeom prst="rect">
          <a:avLst/>
        </a:prstGeom>
      </xdr:spPr>
    </xdr:pic>
    <xdr:clientData/>
  </xdr:twoCellAnchor>
  <xdr:twoCellAnchor>
    <xdr:from>
      <xdr:col>6</xdr:col>
      <xdr:colOff>253999</xdr:colOff>
      <xdr:row>28</xdr:row>
      <xdr:rowOff>4234</xdr:rowOff>
    </xdr:from>
    <xdr:to>
      <xdr:col>11</xdr:col>
      <xdr:colOff>684695</xdr:colOff>
      <xdr:row>30</xdr:row>
      <xdr:rowOff>892681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FD426D53-9805-AAAB-D0F9-BCEE78A3075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6</xdr:col>
      <xdr:colOff>217188</xdr:colOff>
      <xdr:row>36</xdr:row>
      <xdr:rowOff>50248</xdr:rowOff>
    </xdr:from>
    <xdr:to>
      <xdr:col>11</xdr:col>
      <xdr:colOff>647884</xdr:colOff>
      <xdr:row>38</xdr:row>
      <xdr:rowOff>639970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52C506-FA07-B944-41AE-F80210E7BD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548492</xdr:colOff>
      <xdr:row>43</xdr:row>
      <xdr:rowOff>1577927</xdr:rowOff>
    </xdr:from>
    <xdr:to>
      <xdr:col>12</xdr:col>
      <xdr:colOff>150927</xdr:colOff>
      <xdr:row>48</xdr:row>
      <xdr:rowOff>156449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19B19244-331F-A5B9-51FE-E6510FCC519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401246</xdr:colOff>
      <xdr:row>52</xdr:row>
      <xdr:rowOff>77856</xdr:rowOff>
    </xdr:from>
    <xdr:to>
      <xdr:col>12</xdr:col>
      <xdr:colOff>3681</xdr:colOff>
      <xdr:row>55</xdr:row>
      <xdr:rowOff>225838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117B7A9D-4271-B7AC-57B8-3048065F742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6</xdr:col>
      <xdr:colOff>451861</xdr:colOff>
      <xdr:row>60</xdr:row>
      <xdr:rowOff>133073</xdr:rowOff>
    </xdr:from>
    <xdr:to>
      <xdr:col>12</xdr:col>
      <xdr:colOff>54296</xdr:colOff>
      <xdr:row>63</xdr:row>
      <xdr:rowOff>290258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2DCE0BD8-94E8-E982-1E41-965427472D8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7</xdr:col>
      <xdr:colOff>0</xdr:colOff>
      <xdr:row>69</xdr:row>
      <xdr:rowOff>0</xdr:rowOff>
    </xdr:from>
    <xdr:to>
      <xdr:col>12</xdr:col>
      <xdr:colOff>430696</xdr:colOff>
      <xdr:row>72</xdr:row>
      <xdr:rowOff>378055</xdr:rowOff>
    </xdr:to>
    <xdr:graphicFrame macro="">
      <xdr:nvGraphicFramePr>
        <xdr:cNvPr id="16" name="Gráfico 15">
          <a:extLst>
            <a:ext uri="{FF2B5EF4-FFF2-40B4-BE49-F238E27FC236}">
              <a16:creationId xmlns:a16="http://schemas.microsoft.com/office/drawing/2014/main" id="{A6DC5254-4095-4348-8E19-DD7235CAF0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7</xdr:col>
      <xdr:colOff>266885</xdr:colOff>
      <xdr:row>17</xdr:row>
      <xdr:rowOff>165654</xdr:rowOff>
    </xdr:from>
    <xdr:to>
      <xdr:col>11</xdr:col>
      <xdr:colOff>524566</xdr:colOff>
      <xdr:row>26</xdr:row>
      <xdr:rowOff>441741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04DA4A33-560A-851B-1131-54B27033E8B0}"/>
            </a:ext>
          </a:extLst>
        </xdr:cNvPr>
        <xdr:cNvSpPr/>
      </xdr:nvSpPr>
      <xdr:spPr>
        <a:xfrm>
          <a:off x="8199784" y="7159857"/>
          <a:ext cx="3570724" cy="2540000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I</a:t>
          </a:r>
          <a:r>
            <a:rPr lang="pt-BR" sz="1100" baseline="0"/>
            <a:t> didnt consider pregnent women</a:t>
          </a:r>
        </a:p>
        <a:p>
          <a:pPr algn="l"/>
          <a:endParaRPr lang="pt-BR" sz="1100" baseline="0"/>
        </a:p>
        <a:p>
          <a:pPr algn="l"/>
          <a:r>
            <a:rPr lang="pt-BR" sz="1100" baseline="0"/>
            <a:t>30-39 is the age refference</a:t>
          </a:r>
        </a:p>
        <a:p>
          <a:pPr algn="l"/>
          <a:endParaRPr lang="pt-BR" sz="1100" baseline="0"/>
        </a:p>
        <a:p>
          <a:pPr algn="l"/>
          <a:r>
            <a:rPr lang="pt-BR"/>
            <a:t>The employment contract itself does not shape women’s fertility behavior,</a:t>
          </a:r>
          <a:r>
            <a:rPr lang="pt-BR" baseline="0"/>
            <a:t> but it </a:t>
          </a:r>
          <a:r>
            <a:rPr lang="pt-BR"/>
            <a:t>tends to select women who already display characteristics associated with lower fertility (ex:  higher education, later entry into stable employment, and delayed family formation)</a:t>
          </a:r>
          <a:endParaRPr lang="pt-BR" sz="1100"/>
        </a:p>
      </xdr:txBody>
    </xdr:sp>
    <xdr:clientData/>
  </xdr:twoCellAnchor>
  <xdr:twoCellAnchor>
    <xdr:from>
      <xdr:col>3</xdr:col>
      <xdr:colOff>681015</xdr:colOff>
      <xdr:row>13</xdr:row>
      <xdr:rowOff>929494</xdr:rowOff>
    </xdr:from>
    <xdr:to>
      <xdr:col>6</xdr:col>
      <xdr:colOff>432536</xdr:colOff>
      <xdr:row>24</xdr:row>
      <xdr:rowOff>64421</xdr:rowOff>
    </xdr:to>
    <xdr:sp macro="" textlink="">
      <xdr:nvSpPr>
        <xdr:cNvPr id="18" name="Retângulo 17">
          <a:extLst>
            <a:ext uri="{FF2B5EF4-FFF2-40B4-BE49-F238E27FC236}">
              <a16:creationId xmlns:a16="http://schemas.microsoft.com/office/drawing/2014/main" id="{0DE34EF7-029B-02B0-7F87-FFDB55CE6659}"/>
            </a:ext>
          </a:extLst>
        </xdr:cNvPr>
        <xdr:cNvSpPr/>
      </xdr:nvSpPr>
      <xdr:spPr>
        <a:xfrm>
          <a:off x="3828406" y="5337682"/>
          <a:ext cx="3708768" cy="3138188"/>
        </a:xfrm>
        <a:prstGeom prst="rect">
          <a:avLst/>
        </a:prstGeom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/>
            <a:t>https://socio.health/population-studies-introduction/child-woman-ratio-simplified-fertility-measure/</a:t>
          </a:r>
        </a:p>
        <a:p>
          <a:pPr algn="l"/>
          <a:endParaRPr lang="pt-BR" sz="1100"/>
        </a:p>
        <a:p>
          <a:pPr algn="l"/>
          <a:r>
            <a:rPr lang="pt-BR" sz="1100"/>
            <a:t>https://demographicestimation.iussp.org/content/parity-progression-ratios</a:t>
          </a:r>
        </a:p>
        <a:p>
          <a:pPr algn="l"/>
          <a:endParaRPr lang="pt-BR" sz="1100"/>
        </a:p>
        <a:p>
          <a:pPr algn="l"/>
          <a:r>
            <a:rPr lang="pt-BR" sz="1100"/>
            <a:t>http://papp.iussp.org/sessions/papp101_s04/PAPP101_s04_090_040.html</a:t>
          </a:r>
        </a:p>
        <a:p>
          <a:pPr algn="l"/>
          <a:endParaRPr lang="pt-BR" sz="1100"/>
        </a:p>
      </xdr:txBody>
    </xdr:sp>
    <xdr:clientData/>
  </xdr:twoCellAnchor>
  <xdr:twoCellAnchor>
    <xdr:from>
      <xdr:col>6</xdr:col>
      <xdr:colOff>423333</xdr:colOff>
      <xdr:row>72</xdr:row>
      <xdr:rowOff>947899</xdr:rowOff>
    </xdr:from>
    <xdr:to>
      <xdr:col>7</xdr:col>
      <xdr:colOff>738072</xdr:colOff>
      <xdr:row>73</xdr:row>
      <xdr:rowOff>526590</xdr:rowOff>
    </xdr:to>
    <xdr:sp macro="" textlink="">
      <xdr:nvSpPr>
        <xdr:cNvPr id="13315" name="Text Box 3">
          <a:extLst>
            <a:ext uri="{FF2B5EF4-FFF2-40B4-BE49-F238E27FC236}">
              <a16:creationId xmlns:a16="http://schemas.microsoft.com/office/drawing/2014/main" id="{60421AA3-072D-9B3D-EC83-B25DC0296DB3}"/>
            </a:ext>
          </a:extLst>
        </xdr:cNvPr>
        <xdr:cNvSpPr txBox="1">
          <a:spLocks noChangeArrowheads="1"/>
        </xdr:cNvSpPr>
      </xdr:nvSpPr>
      <xdr:spPr bwMode="auto">
        <a:xfrm>
          <a:off x="7527971" y="43023551"/>
          <a:ext cx="1143000" cy="8763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lnSpc>
              <a:spcPts val="1100"/>
            </a:lnSpc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Aptos Narrow" pitchFamily="2" charset="0"/>
            </a:rPr>
            <a:t>https://socio.health/population-studies-introduction/child-woman-ratio-simplified-fertility-measure/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393700</xdr:colOff>
      <xdr:row>14</xdr:row>
      <xdr:rowOff>139700</xdr:rowOff>
    </xdr:from>
    <xdr:to>
      <xdr:col>13</xdr:col>
      <xdr:colOff>2590800</xdr:colOff>
      <xdr:row>37</xdr:row>
      <xdr:rowOff>38100</xdr:rowOff>
    </xdr:to>
    <xdr:sp macro="" textlink="">
      <xdr:nvSpPr>
        <xdr:cNvPr id="15361" name="Text Box 1">
          <a:extLst>
            <a:ext uri="{FF2B5EF4-FFF2-40B4-BE49-F238E27FC236}">
              <a16:creationId xmlns:a16="http://schemas.microsoft.com/office/drawing/2014/main" id="{97F94FED-C6BC-FD4E-8187-C8D285CB13B0}"/>
            </a:ext>
          </a:extLst>
        </xdr:cNvPr>
        <xdr:cNvSpPr txBox="1">
          <a:spLocks noChangeArrowheads="1"/>
        </xdr:cNvSpPr>
      </xdr:nvSpPr>
      <xdr:spPr bwMode="auto">
        <a:xfrm>
          <a:off x="6172200" y="4686300"/>
          <a:ext cx="8737600" cy="48641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27432" tIns="22860" rIns="0" bIns="0" anchor="t" upright="1"/>
        <a:lstStyle/>
        <a:p>
          <a:pPr algn="l" rtl="0"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Aptos Narrow" pitchFamily="2" charset="0"/>
            </a:rPr>
            <a:t>&gt; table(mulheres_func_pub$V4752)</a:t>
          </a:r>
        </a:p>
        <a:p>
          <a:pPr algn="l" rtl="0">
            <a:defRPr sz="1000"/>
          </a:pPr>
          <a:endParaRPr lang="pt-BR" sz="1200" b="0" i="0" u="none" strike="noStrike" baseline="0">
            <a:solidFill>
              <a:srgbClr val="000000"/>
            </a:solidFill>
            <a:latin typeface="Aptos Narrow" pitchFamily="2" charset="0"/>
          </a:endParaRPr>
        </a:p>
        <a:p>
          <a:pPr algn="l" rtl="0"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Aptos Narrow" pitchFamily="2" charset="0"/>
            </a:rPr>
            <a:t>  15   16   17   18   19   20   21   22   23   24   25   26   27   28   29   30   31   32   33   34   35   36   37   38   39   40 </a:t>
          </a:r>
        </a:p>
        <a:p>
          <a:pPr algn="l" rtl="0"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Aptos Narrow" pitchFamily="2" charset="0"/>
            </a:rPr>
            <a:t> 262  540  901 1600 2395 3372 3893 4387 4711 5144 5450 5651 5908 6224 6369 7009 7023 7367 7688 7906 8251 8397 8344 8006 7835 7946 </a:t>
          </a:r>
        </a:p>
        <a:p>
          <a:pPr algn="l" rtl="0"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Aptos Narrow" pitchFamily="2" charset="0"/>
            </a:rPr>
            <a:t>  41   42   43   44   45   46   47   48   49 </a:t>
          </a:r>
        </a:p>
        <a:p>
          <a:pPr algn="l" rtl="0"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Aptos Narrow" pitchFamily="2" charset="0"/>
            </a:rPr>
            <a:t>7301 7516 7129 6811 6681 6239 5735 5309 4793 </a:t>
          </a:r>
        </a:p>
        <a:p>
          <a:pPr algn="l" rtl="0"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Aptos Narrow" pitchFamily="2" charset="0"/>
            </a:rPr>
            <a:t>&gt; (262 + 540 +901)/sum(table(mulheres_func_pub$V4752))</a:t>
          </a:r>
        </a:p>
        <a:p>
          <a:pPr algn="l" rtl="0"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Aptos Narrow" pitchFamily="2" charset="0"/>
            </a:rPr>
            <a:t>[1] 0.008511042</a:t>
          </a:r>
        </a:p>
        <a:p>
          <a:pPr algn="l" rtl="0"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Aptos Narrow" pitchFamily="2" charset="0"/>
            </a:rPr>
            <a:t>&gt; 0.008511042*100</a:t>
          </a:r>
        </a:p>
        <a:p>
          <a:pPr algn="l" rtl="0">
            <a:defRPr sz="1000"/>
          </a:pPr>
          <a:r>
            <a:rPr lang="pt-BR" sz="1200" b="0" i="0" u="none" strike="noStrike" baseline="0">
              <a:solidFill>
                <a:srgbClr val="000000"/>
              </a:solidFill>
              <a:latin typeface="Aptos Narrow" pitchFamily="2" charset="0"/>
            </a:rPr>
            <a:t>[1] 0.8511042</a:t>
          </a: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grettarossiferreira/Library/CloudStorage/GoogleDrive-g210545@dac.unicamp.br/Meu%20Drive/Doutorado/Tese_RetaFinal_cs/PNDS_2006/Medidas_parturicao_func_publicas.xlsx" TargetMode="External"/><Relationship Id="rId1" Type="http://schemas.openxmlformats.org/officeDocument/2006/relationships/externalLinkPath" Target="/Users/grettarossiferreira/Library/CloudStorage/GoogleDrive-g210545@dac.unicamp.br/Meu%20Drive/Doutorado/Tese_RetaFinal_cs/PNDS_2006/Medidas_parturicao_func_publica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nascidos x desejados"/>
      <sheetName val="parity_desejado"/>
      <sheetName val="parity 4+"/>
      <sheetName val="parity"/>
      <sheetName val="TFT_5anos_antes_final"/>
      <sheetName val="n desejados filhos"/>
      <sheetName val="El_Badry_func_pub"/>
      <sheetName val="func_pub_peso_elbadry"/>
      <sheetName val="TFT_faixas_10"/>
      <sheetName val="filhos_desejados_func_pub"/>
      <sheetName val="decomposicao queda"/>
      <sheetName val="PPR_func_pub"/>
      <sheetName val="resumo"/>
      <sheetName val="descritiva"/>
      <sheetName val="nascidos"/>
      <sheetName val="n_medio_nascidos_vivos"/>
      <sheetName val="n_medio_nascidos_vivos_5ano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3">
          <cell r="C3">
            <v>1370872.034</v>
          </cell>
          <cell r="D3">
            <v>1</v>
          </cell>
        </row>
        <row r="5">
          <cell r="C5">
            <v>1236773.0209999999</v>
          </cell>
          <cell r="D5">
            <v>0.90217977340399957</v>
          </cell>
        </row>
        <row r="6">
          <cell r="C6">
            <v>134099.01300000001</v>
          </cell>
          <cell r="D6">
            <v>9.7820226596000426E-2</v>
          </cell>
        </row>
        <row r="8">
          <cell r="C8">
            <v>109218.7138</v>
          </cell>
          <cell r="D8">
            <v>7.9670976642010921E-2</v>
          </cell>
        </row>
        <row r="9">
          <cell r="C9">
            <v>239070.29090000002</v>
          </cell>
          <cell r="D9">
            <v>0.17439285722565118</v>
          </cell>
        </row>
        <row r="10">
          <cell r="C10">
            <v>610527.32960000006</v>
          </cell>
          <cell r="D10">
            <v>0.44535690747047513</v>
          </cell>
        </row>
        <row r="11">
          <cell r="C11">
            <v>291846.93859999999</v>
          </cell>
          <cell r="D11">
            <v>0.21289145256573233</v>
          </cell>
        </row>
        <row r="12">
          <cell r="C12">
            <v>120208.7617</v>
          </cell>
          <cell r="D12">
            <v>8.7687806533808102E-2</v>
          </cell>
        </row>
        <row r="14">
          <cell r="C14">
            <v>122900.565</v>
          </cell>
          <cell r="D14">
            <v>8.9683253769438254E-2</v>
          </cell>
        </row>
        <row r="15">
          <cell r="C15">
            <v>461148.44199999998</v>
          </cell>
          <cell r="D15">
            <v>0.33651019219697709</v>
          </cell>
        </row>
        <row r="16">
          <cell r="C16">
            <v>786335.76199999999</v>
          </cell>
          <cell r="D16">
            <v>0.57380655403358471</v>
          </cell>
        </row>
        <row r="18">
          <cell r="C18">
            <v>700554.37200000009</v>
          </cell>
          <cell r="D18">
            <v>0.51507103591441639</v>
          </cell>
        </row>
        <row r="19">
          <cell r="C19">
            <v>610856.01899999997</v>
          </cell>
          <cell r="D19">
            <v>0.44912180278404767</v>
          </cell>
        </row>
        <row r="20">
          <cell r="C20">
            <v>48701.755000000005</v>
          </cell>
          <cell r="D20">
            <v>3.5807161301535793E-2</v>
          </cell>
        </row>
        <row r="22">
          <cell r="G22" t="str">
            <v>15-29</v>
          </cell>
          <cell r="H22" t="str">
            <v>20-24</v>
          </cell>
          <cell r="I22" t="str">
            <v>25-29</v>
          </cell>
          <cell r="J22" t="str">
            <v>30-34</v>
          </cell>
          <cell r="K22" t="str">
            <v>35-39</v>
          </cell>
          <cell r="L22" t="str">
            <v>40-45</v>
          </cell>
        </row>
        <row r="24">
          <cell r="F24" t="str">
            <v xml:space="preserve">Mean actual number </v>
          </cell>
          <cell r="G24">
            <v>0</v>
          </cell>
          <cell r="H24">
            <v>0.48515808505694635</v>
          </cell>
          <cell r="I24">
            <v>1.0836310392171344</v>
          </cell>
          <cell r="J24">
            <v>1.0644328681693986</v>
          </cell>
          <cell r="K24">
            <v>1.2595293657779361</v>
          </cell>
          <cell r="L24">
            <v>1.8517545030042006</v>
          </cell>
        </row>
        <row r="25">
          <cell r="F25" t="str">
            <v>Difference</v>
          </cell>
          <cell r="G25">
            <v>2</v>
          </cell>
          <cell r="H25">
            <v>1.1158368333628816</v>
          </cell>
          <cell r="I25">
            <v>0.91153891328759973</v>
          </cell>
          <cell r="J25">
            <v>0.98414072920963713</v>
          </cell>
          <cell r="K25">
            <v>0.63602761959747278</v>
          </cell>
          <cell r="L25">
            <v>0.65593368928269236</v>
          </cell>
        </row>
      </sheetData>
      <sheetData sheetId="13">
        <row r="14">
          <cell r="E14">
            <v>316287.43599999999</v>
          </cell>
          <cell r="F14">
            <v>604590.04</v>
          </cell>
          <cell r="G14">
            <v>233160.54199999999</v>
          </cell>
          <cell r="H14">
            <v>28820.760999999999</v>
          </cell>
          <cell r="I14">
            <v>128289.575</v>
          </cell>
          <cell r="J14">
            <v>2630.9969999999998</v>
          </cell>
          <cell r="K14">
            <v>57092.682999999997</v>
          </cell>
          <cell r="L14">
            <v>0</v>
          </cell>
          <cell r="M14">
            <v>1370872.0339999998</v>
          </cell>
        </row>
        <row r="15">
          <cell r="E15">
            <v>0.23071988351612988</v>
          </cell>
          <cell r="F15">
            <v>0.4410258762343387</v>
          </cell>
          <cell r="G15">
            <v>0.17008191590258967</v>
          </cell>
          <cell r="H15">
            <v>2.102366981395435E-2</v>
          </cell>
          <cell r="I15">
            <v>9.3582458331774546E-2</v>
          </cell>
          <cell r="J15">
            <v>1.9192141459937319E-3</v>
          </cell>
          <cell r="K15">
            <v>4.1646982055219321E-2</v>
          </cell>
          <cell r="L15">
            <v>0</v>
          </cell>
          <cell r="M15">
            <v>1</v>
          </cell>
        </row>
      </sheetData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DFD78-5190-4F44-9FBF-F653836CB567}">
  <dimension ref="A1:AT42"/>
  <sheetViews>
    <sheetView showGridLines="0" workbookViewId="0">
      <selection activeCell="O31" sqref="O31"/>
    </sheetView>
  </sheetViews>
  <sheetFormatPr baseColWidth="10" defaultColWidth="8.83203125" defaultRowHeight="15" x14ac:dyDescent="0.2"/>
  <cols>
    <col min="1" max="1" width="12.1640625" style="65" bestFit="1" customWidth="1"/>
    <col min="2" max="24" width="8.83203125" style="65"/>
    <col min="25" max="25" width="12.1640625" style="65" bestFit="1" customWidth="1"/>
    <col min="26" max="16384" width="8.83203125" style="65"/>
  </cols>
  <sheetData>
    <row r="1" spans="1:44" s="111" customFormat="1" ht="19" x14ac:dyDescent="0.25">
      <c r="A1" s="110" t="s">
        <v>28</v>
      </c>
    </row>
    <row r="2" spans="1:44" s="109" customFormat="1" ht="19" x14ac:dyDescent="0.25">
      <c r="A2" s="107" t="s">
        <v>218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8" t="s">
        <v>219</v>
      </c>
    </row>
    <row r="3" spans="1:44" x14ac:dyDescent="0.2">
      <c r="A3" s="63"/>
      <c r="B3" s="64" t="s">
        <v>191</v>
      </c>
      <c r="C3" s="63"/>
      <c r="D3" s="63"/>
      <c r="E3" s="63"/>
      <c r="F3" s="63"/>
      <c r="G3" s="63"/>
      <c r="H3" s="63"/>
      <c r="I3" s="63"/>
      <c r="Y3" s="63"/>
      <c r="Z3" s="64" t="s">
        <v>191</v>
      </c>
      <c r="AA3" s="63"/>
      <c r="AB3" s="63"/>
      <c r="AC3" s="63"/>
      <c r="AD3" s="63"/>
      <c r="AE3" s="63"/>
      <c r="AF3" s="63"/>
      <c r="AG3" s="63"/>
    </row>
    <row r="4" spans="1:44" x14ac:dyDescent="0.2">
      <c r="A4" s="66" t="s">
        <v>192</v>
      </c>
      <c r="B4" s="66" t="s">
        <v>193</v>
      </c>
      <c r="C4" s="66" t="s">
        <v>9</v>
      </c>
      <c r="D4" s="66" t="s">
        <v>10</v>
      </c>
      <c r="E4" s="66" t="s">
        <v>11</v>
      </c>
      <c r="F4" s="66" t="s">
        <v>12</v>
      </c>
      <c r="G4" s="66" t="s">
        <v>13</v>
      </c>
      <c r="H4" s="67" t="s">
        <v>14</v>
      </c>
      <c r="I4" s="68" t="s">
        <v>194</v>
      </c>
      <c r="K4" s="69"/>
      <c r="L4" s="70" t="s">
        <v>195</v>
      </c>
      <c r="M4" s="69"/>
      <c r="N4" s="69"/>
      <c r="O4" s="69"/>
      <c r="P4" s="69"/>
      <c r="Q4" s="69"/>
      <c r="R4" s="69"/>
      <c r="S4" s="71"/>
      <c r="T4" s="71"/>
      <c r="Y4" s="66" t="s">
        <v>192</v>
      </c>
      <c r="Z4" s="66" t="s">
        <v>193</v>
      </c>
      <c r="AA4" s="66" t="s">
        <v>9</v>
      </c>
      <c r="AB4" s="66" t="s">
        <v>10</v>
      </c>
      <c r="AC4" s="66" t="s">
        <v>11</v>
      </c>
      <c r="AD4" s="66" t="s">
        <v>12</v>
      </c>
      <c r="AE4" s="66" t="s">
        <v>13</v>
      </c>
      <c r="AF4" s="67" t="s">
        <v>14</v>
      </c>
      <c r="AG4" s="68" t="s">
        <v>194</v>
      </c>
      <c r="AI4" s="69"/>
      <c r="AJ4" s="70" t="s">
        <v>195</v>
      </c>
      <c r="AK4" s="69"/>
      <c r="AL4" s="69"/>
      <c r="AM4" s="69"/>
      <c r="AN4" s="69"/>
      <c r="AO4" s="69"/>
      <c r="AP4" s="69"/>
      <c r="AQ4" s="71"/>
      <c r="AR4" s="71"/>
    </row>
    <row r="5" spans="1:44" x14ac:dyDescent="0.2">
      <c r="A5" s="63">
        <v>0</v>
      </c>
      <c r="B5" s="72">
        <v>0</v>
      </c>
      <c r="C5" s="72">
        <v>47283.103199999998</v>
      </c>
      <c r="D5" s="72">
        <v>54227.257799999999</v>
      </c>
      <c r="E5" s="72">
        <v>62636.767099999997</v>
      </c>
      <c r="F5" s="72">
        <v>74948.839900000006</v>
      </c>
      <c r="G5" s="72">
        <v>72814.219299999997</v>
      </c>
      <c r="H5" s="73">
        <v>118978.6526</v>
      </c>
      <c r="I5" s="74">
        <f>SUM(G5:H5)</f>
        <v>191792.8719</v>
      </c>
      <c r="K5" s="75" t="s">
        <v>192</v>
      </c>
      <c r="L5" s="75" t="s">
        <v>193</v>
      </c>
      <c r="M5" s="75" t="s">
        <v>9</v>
      </c>
      <c r="N5" s="75" t="s">
        <v>10</v>
      </c>
      <c r="O5" s="75" t="s">
        <v>11</v>
      </c>
      <c r="P5" s="75" t="s">
        <v>12</v>
      </c>
      <c r="Q5" s="75" t="s">
        <v>13</v>
      </c>
      <c r="R5" s="76" t="s">
        <v>14</v>
      </c>
      <c r="S5" s="77" t="s">
        <v>194</v>
      </c>
      <c r="T5" s="71"/>
      <c r="Y5" s="63">
        <v>0</v>
      </c>
      <c r="Z5" s="72">
        <v>0</v>
      </c>
      <c r="AA5" s="72">
        <v>47283.103199999998</v>
      </c>
      <c r="AB5" s="72">
        <v>54227.257799999999</v>
      </c>
      <c r="AC5" s="72">
        <v>62636.767099999997</v>
      </c>
      <c r="AD5" s="72">
        <v>74948.839900000006</v>
      </c>
      <c r="AE5" s="72">
        <v>72814.219299999997</v>
      </c>
      <c r="AF5" s="73">
        <v>118978.6526</v>
      </c>
      <c r="AG5" s="74">
        <f>SUM(AE5:AF5)</f>
        <v>191792.8719</v>
      </c>
      <c r="AI5" s="75" t="s">
        <v>192</v>
      </c>
      <c r="AJ5" s="75" t="s">
        <v>193</v>
      </c>
      <c r="AK5" s="75" t="s">
        <v>9</v>
      </c>
      <c r="AL5" s="75" t="s">
        <v>10</v>
      </c>
      <c r="AM5" s="75" t="s">
        <v>11</v>
      </c>
      <c r="AN5" s="75" t="s">
        <v>12</v>
      </c>
      <c r="AO5" s="75" t="s">
        <v>13</v>
      </c>
      <c r="AP5" s="76" t="s">
        <v>14</v>
      </c>
      <c r="AQ5" s="77" t="s">
        <v>194</v>
      </c>
      <c r="AR5" s="71"/>
    </row>
    <row r="6" spans="1:44" x14ac:dyDescent="0.2">
      <c r="A6" s="63">
        <v>1</v>
      </c>
      <c r="B6" s="72">
        <v>8337.5553999999993</v>
      </c>
      <c r="C6" s="72">
        <v>24635.409</v>
      </c>
      <c r="D6" s="72">
        <v>29869.734799999998</v>
      </c>
      <c r="E6" s="72">
        <v>77758.539199999999</v>
      </c>
      <c r="F6" s="72">
        <v>81532.505399999995</v>
      </c>
      <c r="G6" s="72">
        <v>44045.461600000002</v>
      </c>
      <c r="H6" s="73">
        <v>87226.992299999998</v>
      </c>
      <c r="I6" s="74">
        <f t="shared" ref="I6:I14" si="0">SUM(G6:H6)</f>
        <v>131272.45389999999</v>
      </c>
      <c r="K6" s="70">
        <f t="shared" ref="K6:K15" si="1">A5</f>
        <v>0</v>
      </c>
      <c r="L6" s="78">
        <f>SUM(B5:B$23)/B$24</f>
        <v>1</v>
      </c>
      <c r="M6" s="78">
        <f>SUM(C5:C$23)/C$24</f>
        <v>1</v>
      </c>
      <c r="N6" s="78">
        <f>SUM(D5:D$23)/D$24</f>
        <v>1</v>
      </c>
      <c r="O6" s="78">
        <f>SUM(E5:E$23)/E$24</f>
        <v>1</v>
      </c>
      <c r="P6" s="78">
        <f>SUM(F5:F$23)/F$24</f>
        <v>1</v>
      </c>
      <c r="Q6" s="78">
        <f>SUM(G5:G$23)/G$24</f>
        <v>1</v>
      </c>
      <c r="R6" s="79">
        <f>SUM(H5:H$23)/H$24</f>
        <v>1</v>
      </c>
      <c r="S6" s="80">
        <f>SUM(I5:I$23)/I$24</f>
        <v>1</v>
      </c>
      <c r="T6" s="71"/>
      <c r="Y6" s="63">
        <v>1</v>
      </c>
      <c r="Z6" s="72">
        <v>8337.5553999999993</v>
      </c>
      <c r="AA6" s="72">
        <v>24635.409</v>
      </c>
      <c r="AB6" s="72">
        <v>29869.734799999998</v>
      </c>
      <c r="AC6" s="72">
        <v>77758.539199999999</v>
      </c>
      <c r="AD6" s="72">
        <v>81532.505399999995</v>
      </c>
      <c r="AE6" s="72">
        <v>44045.461600000002</v>
      </c>
      <c r="AF6" s="73">
        <v>87226.992299999998</v>
      </c>
      <c r="AG6" s="74">
        <f t="shared" ref="AG6:AG14" si="2">SUM(AE6:AF6)</f>
        <v>131272.45389999999</v>
      </c>
      <c r="AI6" s="70">
        <f>Y5</f>
        <v>0</v>
      </c>
      <c r="AJ6" s="78">
        <f>SUM(Z5:Z$23)/Z$24</f>
        <v>1</v>
      </c>
      <c r="AK6" s="78">
        <f>SUM(AA5:AA$23)/AA$24</f>
        <v>1</v>
      </c>
      <c r="AL6" s="78">
        <f>SUM(AB5:AB$23)/AB$24</f>
        <v>1</v>
      </c>
      <c r="AM6" s="78">
        <f>SUM(AC5:AC$23)/AC$24</f>
        <v>1</v>
      </c>
      <c r="AN6" s="78">
        <f>SUM(AD5:AD$23)/AD$24</f>
        <v>1</v>
      </c>
      <c r="AO6" s="78">
        <f>SUM(AE5:AE$23)/AE$24</f>
        <v>1</v>
      </c>
      <c r="AP6" s="79">
        <f>SUM(AF5:AF$23)/AF$24</f>
        <v>1</v>
      </c>
      <c r="AQ6" s="80">
        <f>SUM(AG5:AG$23)/AG$24</f>
        <v>1</v>
      </c>
      <c r="AR6" s="71"/>
    </row>
    <row r="7" spans="1:44" x14ac:dyDescent="0.2">
      <c r="A7" s="63">
        <v>2</v>
      </c>
      <c r="B7" s="72">
        <v>0</v>
      </c>
      <c r="C7" s="72">
        <v>6770.6329999999998</v>
      </c>
      <c r="D7" s="72">
        <v>36573.016799999998</v>
      </c>
      <c r="E7" s="72">
        <v>54308.839</v>
      </c>
      <c r="F7" s="72">
        <v>54748.566200000001</v>
      </c>
      <c r="G7" s="72">
        <v>167541.15179999999</v>
      </c>
      <c r="H7" s="73">
        <v>75359.978799999997</v>
      </c>
      <c r="I7" s="74">
        <f t="shared" si="0"/>
        <v>242901.13059999997</v>
      </c>
      <c r="K7" s="70">
        <f t="shared" si="1"/>
        <v>1</v>
      </c>
      <c r="L7" s="81">
        <f>SUM(B6:B$23)/B$24</f>
        <v>1</v>
      </c>
      <c r="M7" s="81">
        <f>SUM(C6:C$23)/C$24</f>
        <v>0.39911530262753447</v>
      </c>
      <c r="N7" s="81">
        <f>SUM(D6:D$23)/D$24</f>
        <v>0.59875777263735874</v>
      </c>
      <c r="O7" s="81">
        <f>SUM(E6:E$23)/E$24</f>
        <v>0.69235393548608626</v>
      </c>
      <c r="P7" s="81">
        <f>SUM(F6:F$23)/F$24</f>
        <v>0.69942002784197277</v>
      </c>
      <c r="Q7" s="81">
        <f>SUM(G6:G$23)/G$24</f>
        <v>0.79410665005826164</v>
      </c>
      <c r="R7" s="82">
        <f>SUM(H6:H$23)/H$24</f>
        <v>0.65221009951981579</v>
      </c>
      <c r="S7" s="83">
        <f>SUM(I6:I$23)/I$24</f>
        <v>0.72433627100479414</v>
      </c>
      <c r="T7" s="71"/>
      <c r="Y7" s="63">
        <v>2</v>
      </c>
      <c r="Z7" s="72">
        <v>0</v>
      </c>
      <c r="AA7" s="72">
        <v>6770.6329999999998</v>
      </c>
      <c r="AB7" s="72">
        <v>36573.016799999998</v>
      </c>
      <c r="AC7" s="72">
        <v>54308.839</v>
      </c>
      <c r="AD7" s="72">
        <v>54748.566200000001</v>
      </c>
      <c r="AE7" s="72">
        <v>167541.15179999999</v>
      </c>
      <c r="AF7" s="73">
        <v>75359.978799999997</v>
      </c>
      <c r="AG7" s="74">
        <f t="shared" si="2"/>
        <v>242901.13059999997</v>
      </c>
      <c r="AI7" s="70">
        <f t="shared" ref="AI7:AI15" si="3">Y6</f>
        <v>1</v>
      </c>
      <c r="AJ7" s="81">
        <f>SUM(Z6:Z$23)/Z$24</f>
        <v>1</v>
      </c>
      <c r="AK7" s="81">
        <f>SUM(AA6:AA$23)/AA$24</f>
        <v>0.39911530262753447</v>
      </c>
      <c r="AL7" s="81">
        <f>SUM(AB6:AB$23)/AB$24</f>
        <v>0.59875777263735874</v>
      </c>
      <c r="AM7" s="81">
        <f>SUM(AC6:AC$23)/AC$24</f>
        <v>0.69235393548608626</v>
      </c>
      <c r="AN7" s="81">
        <f>SUM(AD6:AD$23)/AD$24</f>
        <v>0.69942002784197277</v>
      </c>
      <c r="AO7" s="81">
        <f>SUM(AE6:AE$23)/AE$24</f>
        <v>0.79410665005826164</v>
      </c>
      <c r="AP7" s="82">
        <f>SUM(AF6:AF$23)/AF$24</f>
        <v>0.65221009951981579</v>
      </c>
      <c r="AQ7" s="83">
        <f>SUM(AG6:AG$23)/AG$24</f>
        <v>0.72433627100479414</v>
      </c>
      <c r="AR7" s="71"/>
    </row>
    <row r="8" spans="1:44" x14ac:dyDescent="0.2">
      <c r="A8" s="63">
        <v>3</v>
      </c>
      <c r="B8" s="72">
        <v>0</v>
      </c>
      <c r="C8" s="72">
        <v>0</v>
      </c>
      <c r="D8" s="72">
        <v>14478.422399999999</v>
      </c>
      <c r="E8" s="72">
        <v>7068.6607999999997</v>
      </c>
      <c r="F8" s="72">
        <v>29439.268</v>
      </c>
      <c r="G8" s="72">
        <v>52789.510699999999</v>
      </c>
      <c r="H8" s="73">
        <v>32289.429800000002</v>
      </c>
      <c r="I8" s="74">
        <f t="shared" si="0"/>
        <v>85078.940499999997</v>
      </c>
      <c r="K8" s="70">
        <f t="shared" si="1"/>
        <v>2</v>
      </c>
      <c r="L8" s="81">
        <f>SUM(B7:B$23)/B$24</f>
        <v>0</v>
      </c>
      <c r="M8" s="81">
        <f>SUM(C7:C$23)/C$24</f>
        <v>8.6042782429411879E-2</v>
      </c>
      <c r="N8" s="81">
        <f>SUM(D7:D$23)/D$24</f>
        <v>0.37774348188922158</v>
      </c>
      <c r="O8" s="81">
        <f>SUM(E7:E$23)/E$24</f>
        <v>0.3104359394784203</v>
      </c>
      <c r="P8" s="81">
        <f>SUM(F7:F$23)/F$24</f>
        <v>0.37243647164811344</v>
      </c>
      <c r="Q8" s="81">
        <f>SUM(G7:G$23)/G$24</f>
        <v>0.66956136583031967</v>
      </c>
      <c r="R8" s="82">
        <f>SUM(H7:H$23)/H$24</f>
        <v>0.39723438489987389</v>
      </c>
      <c r="S8" s="83">
        <f>SUM(I7:I$23)/I$24</f>
        <v>0.5356584864868531</v>
      </c>
      <c r="T8" s="71"/>
      <c r="Y8" s="63">
        <v>3</v>
      </c>
      <c r="Z8" s="72">
        <v>0</v>
      </c>
      <c r="AA8" s="72">
        <v>0</v>
      </c>
      <c r="AB8" s="72">
        <v>14478.422399999999</v>
      </c>
      <c r="AC8" s="72">
        <v>7068.6607999999997</v>
      </c>
      <c r="AD8" s="72">
        <v>29439.268</v>
      </c>
      <c r="AE8" s="72">
        <v>52789.510699999999</v>
      </c>
      <c r="AF8" s="73">
        <v>32289.429800000002</v>
      </c>
      <c r="AG8" s="74">
        <f t="shared" si="2"/>
        <v>85078.940499999997</v>
      </c>
      <c r="AI8" s="70">
        <f t="shared" si="3"/>
        <v>2</v>
      </c>
      <c r="AJ8" s="81">
        <f>SUM(Z7:Z$23)/Z$24</f>
        <v>0</v>
      </c>
      <c r="AK8" s="81">
        <f>SUM(AA7:AA$23)/AA$24</f>
        <v>8.6042782429411879E-2</v>
      </c>
      <c r="AL8" s="81">
        <f>SUM(AB7:AB$23)/AB$24</f>
        <v>0.37774348188922158</v>
      </c>
      <c r="AM8" s="81">
        <f>SUM(AC7:AC$23)/AC$24</f>
        <v>0.3104359394784203</v>
      </c>
      <c r="AN8" s="81">
        <f>SUM(AD7:AD$23)/AD$24</f>
        <v>0.37243647164811344</v>
      </c>
      <c r="AO8" s="81">
        <f>SUM(AE7:AE$23)/AE$24</f>
        <v>0.66956136583031967</v>
      </c>
      <c r="AP8" s="82">
        <f>SUM(AF7:AF$23)/AF$24</f>
        <v>0.39723438489987389</v>
      </c>
      <c r="AQ8" s="83">
        <f>SUM(AG7:AG$23)/AG$24</f>
        <v>0.5356584864868531</v>
      </c>
      <c r="AR8" s="71"/>
    </row>
    <row r="9" spans="1:44" x14ac:dyDescent="0.2">
      <c r="A9" s="63">
        <v>4</v>
      </c>
      <c r="B9" s="72">
        <v>0</v>
      </c>
      <c r="C9" s="72">
        <v>0</v>
      </c>
      <c r="D9" s="72">
        <v>0</v>
      </c>
      <c r="E9" s="72">
        <v>0</v>
      </c>
      <c r="F9" s="72">
        <v>8678.2383000000009</v>
      </c>
      <c r="G9" s="72">
        <v>3452.3552</v>
      </c>
      <c r="H9" s="73">
        <v>6592.9917999999998</v>
      </c>
      <c r="I9" s="74">
        <f t="shared" si="0"/>
        <v>10045.347</v>
      </c>
      <c r="K9" s="70">
        <f t="shared" si="1"/>
        <v>3</v>
      </c>
      <c r="L9" s="81">
        <f>SUM(B8:B$23)/B$24</f>
        <v>0</v>
      </c>
      <c r="M9" s="81">
        <f>SUM(C8:C$23)/C$24</f>
        <v>0</v>
      </c>
      <c r="N9" s="81">
        <f>SUM(D8:D$23)/D$24</f>
        <v>0.10712978469055384</v>
      </c>
      <c r="O9" s="81">
        <f>SUM(E8:E$23)/E$24</f>
        <v>4.3693236107483442E-2</v>
      </c>
      <c r="P9" s="81">
        <f>SUM(F8:F$23)/F$24</f>
        <v>0.15286906371965647</v>
      </c>
      <c r="Q9" s="81">
        <f>SUM(G8:G$23)/G$24</f>
        <v>0.19581311543605501</v>
      </c>
      <c r="R9" s="82">
        <f>SUM(H8:H$23)/H$24</f>
        <v>0.17694747666638114</v>
      </c>
      <c r="S9" s="83">
        <f>SUM(I8:I$23)/I$24</f>
        <v>0.18653690144035745</v>
      </c>
      <c r="T9" s="71"/>
      <c r="Y9" s="63">
        <v>4</v>
      </c>
      <c r="Z9" s="72">
        <v>0</v>
      </c>
      <c r="AA9" s="72">
        <v>0</v>
      </c>
      <c r="AB9" s="72">
        <v>0</v>
      </c>
      <c r="AC9" s="72">
        <v>0</v>
      </c>
      <c r="AD9" s="72">
        <v>8678.2383000000009</v>
      </c>
      <c r="AE9" s="72">
        <v>3452.3552</v>
      </c>
      <c r="AF9" s="73">
        <v>6592.9917999999998</v>
      </c>
      <c r="AG9" s="74">
        <f t="shared" si="2"/>
        <v>10045.347</v>
      </c>
      <c r="AI9" s="70">
        <f t="shared" si="3"/>
        <v>3</v>
      </c>
      <c r="AJ9" s="81">
        <f>SUM(Z8:Z$23)/Z$24</f>
        <v>0</v>
      </c>
      <c r="AK9" s="81">
        <f>SUM(AA8:AA$23)/AA$24</f>
        <v>0</v>
      </c>
      <c r="AL9" s="81">
        <f>SUM(AB8:AB$23)/AB$24</f>
        <v>0.10712978469055384</v>
      </c>
      <c r="AM9" s="81">
        <f>SUM(AC8:AC$23)/AC$24</f>
        <v>4.3693236107483442E-2</v>
      </c>
      <c r="AN9" s="81">
        <f>SUM(AD8:AD$23)/AD$24</f>
        <v>0.15286906371965647</v>
      </c>
      <c r="AO9" s="81">
        <f>SUM(AE8:AE$23)/AE$24</f>
        <v>0.19581311543605501</v>
      </c>
      <c r="AP9" s="82">
        <f>SUM(AF8:AF$23)/AF$24</f>
        <v>0.17694747666638114</v>
      </c>
      <c r="AQ9" s="83">
        <f>SUM(AG8:AG$23)/AG$24</f>
        <v>0.18653690144035745</v>
      </c>
      <c r="AR9" s="71"/>
    </row>
    <row r="10" spans="1:44" x14ac:dyDescent="0.2">
      <c r="A10" s="63">
        <v>5</v>
      </c>
      <c r="B10" s="72">
        <v>0</v>
      </c>
      <c r="C10" s="72">
        <v>0</v>
      </c>
      <c r="D10" s="72">
        <v>0</v>
      </c>
      <c r="E10" s="72">
        <v>1827.2861</v>
      </c>
      <c r="F10" s="72">
        <v>0</v>
      </c>
      <c r="G10" s="72">
        <v>3171.7864</v>
      </c>
      <c r="H10" s="73">
        <v>19261.645499999999</v>
      </c>
      <c r="I10" s="74">
        <f t="shared" si="0"/>
        <v>22433.4319</v>
      </c>
      <c r="K10" s="70">
        <f t="shared" si="1"/>
        <v>4</v>
      </c>
      <c r="L10" s="81">
        <f>SUM(B9:B$23)/B$24</f>
        <v>0</v>
      </c>
      <c r="M10" s="81">
        <f>SUM(C9:C$23)/C$24</f>
        <v>0</v>
      </c>
      <c r="N10" s="81">
        <f>SUM(D9:D$23)/D$24</f>
        <v>0</v>
      </c>
      <c r="O10" s="81">
        <f>SUM(E9:E$23)/E$24</f>
        <v>8.9748785487043115E-3</v>
      </c>
      <c r="P10" s="81">
        <f>SUM(F9:F$23)/F$24</f>
        <v>3.4803802568193272E-2</v>
      </c>
      <c r="Q10" s="81">
        <f>SUM(G9:G$23)/G$24</f>
        <v>4.654269402252436E-2</v>
      </c>
      <c r="R10" s="82">
        <f>SUM(H9:H$23)/H$24</f>
        <v>8.2561321408274768E-2</v>
      </c>
      <c r="S10" s="83">
        <f>SUM(I9:I$23)/I$24</f>
        <v>6.4253013802345355E-2</v>
      </c>
      <c r="T10" s="71"/>
      <c r="Y10" s="63">
        <v>5</v>
      </c>
      <c r="Z10" s="72">
        <v>0</v>
      </c>
      <c r="AA10" s="72">
        <v>0</v>
      </c>
      <c r="AB10" s="72">
        <v>0</v>
      </c>
      <c r="AC10" s="72">
        <v>1827.2861</v>
      </c>
      <c r="AD10" s="72">
        <v>0</v>
      </c>
      <c r="AE10" s="72">
        <v>3171.7864</v>
      </c>
      <c r="AF10" s="73">
        <v>19261.645499999999</v>
      </c>
      <c r="AG10" s="74">
        <f t="shared" si="2"/>
        <v>22433.4319</v>
      </c>
      <c r="AI10" s="70">
        <f t="shared" si="3"/>
        <v>4</v>
      </c>
      <c r="AJ10" s="81">
        <f>SUM(Z9:Z$23)/Z$24</f>
        <v>0</v>
      </c>
      <c r="AK10" s="81">
        <f>SUM(AA9:AA$23)/AA$24</f>
        <v>0</v>
      </c>
      <c r="AL10" s="81">
        <f>SUM(AB9:AB$23)/AB$24</f>
        <v>0</v>
      </c>
      <c r="AM10" s="81">
        <f>SUM(AC9:AC$23)/AC$24</f>
        <v>8.9748785487043115E-3</v>
      </c>
      <c r="AN10" s="81">
        <f>SUM(AD9:AD$23)/AD$24</f>
        <v>3.4803802568193272E-2</v>
      </c>
      <c r="AO10" s="81">
        <f>SUM(AE9:AE$23)/AE$24</f>
        <v>4.654269402252436E-2</v>
      </c>
      <c r="AP10" s="82">
        <f>SUM(AF9:AF$23)/AF$24</f>
        <v>8.2561321408274768E-2</v>
      </c>
      <c r="AQ10" s="83">
        <f>SUM(AG9:AG$23)/AG$24</f>
        <v>6.4253013802345355E-2</v>
      </c>
      <c r="AR10" s="71"/>
    </row>
    <row r="11" spans="1:44" x14ac:dyDescent="0.2">
      <c r="A11" s="63">
        <v>6</v>
      </c>
      <c r="B11" s="72">
        <v>0</v>
      </c>
      <c r="C11" s="72">
        <v>0</v>
      </c>
      <c r="D11" s="72">
        <v>0</v>
      </c>
      <c r="E11" s="72">
        <v>0</v>
      </c>
      <c r="F11" s="72">
        <v>0</v>
      </c>
      <c r="G11" s="72">
        <v>0</v>
      </c>
      <c r="H11" s="73">
        <v>2247.1109999999999</v>
      </c>
      <c r="I11" s="74">
        <f t="shared" si="0"/>
        <v>2247.1109999999999</v>
      </c>
      <c r="K11" s="70">
        <f t="shared" si="1"/>
        <v>5</v>
      </c>
      <c r="L11" s="81">
        <f>SUM(B10:B$23)/B$24</f>
        <v>0</v>
      </c>
      <c r="M11" s="81">
        <f>SUM(C10:C$23)/C$24</f>
        <v>0</v>
      </c>
      <c r="N11" s="81">
        <f>SUM(D10:D$23)/D$24</f>
        <v>0</v>
      </c>
      <c r="O11" s="81">
        <f>SUM(E10:E$23)/E$24</f>
        <v>8.9748785487043115E-3</v>
      </c>
      <c r="P11" s="81">
        <f>SUM(F10:F$23)/F$24</f>
        <v>0</v>
      </c>
      <c r="Q11" s="81">
        <f>SUM(G10:G$23)/G$24</f>
        <v>3.6780631280518415E-2</v>
      </c>
      <c r="R11" s="82">
        <f>SUM(H10:H$23)/H$24</f>
        <v>6.3289158613680535E-2</v>
      </c>
      <c r="S11" s="83">
        <f>SUM(I10:I$23)/I$24</f>
        <v>4.9814845242490746E-2</v>
      </c>
      <c r="T11" s="71"/>
      <c r="Y11" s="63">
        <v>6</v>
      </c>
      <c r="Z11" s="72">
        <v>0</v>
      </c>
      <c r="AA11" s="72">
        <v>0</v>
      </c>
      <c r="AB11" s="72">
        <v>0</v>
      </c>
      <c r="AC11" s="72">
        <v>0</v>
      </c>
      <c r="AD11" s="72">
        <v>0</v>
      </c>
      <c r="AE11" s="72">
        <v>0</v>
      </c>
      <c r="AF11" s="73">
        <v>2247.1109999999999</v>
      </c>
      <c r="AG11" s="74">
        <f t="shared" si="2"/>
        <v>2247.1109999999999</v>
      </c>
      <c r="AI11" s="70">
        <f t="shared" si="3"/>
        <v>5</v>
      </c>
      <c r="AJ11" s="81">
        <f>SUM(Z10:Z$23)/Z$24</f>
        <v>0</v>
      </c>
      <c r="AK11" s="81">
        <f>SUM(AA10:AA$23)/AA$24</f>
        <v>0</v>
      </c>
      <c r="AL11" s="81">
        <f>SUM(AB10:AB$23)/AB$24</f>
        <v>0</v>
      </c>
      <c r="AM11" s="81">
        <f>SUM(AC10:AC$23)/AC$24</f>
        <v>8.9748785487043115E-3</v>
      </c>
      <c r="AN11" s="81">
        <f>SUM(AD10:AD$23)/AD$24</f>
        <v>0</v>
      </c>
      <c r="AO11" s="81">
        <f>SUM(AE10:AE$23)/AE$24</f>
        <v>3.6780631280518415E-2</v>
      </c>
      <c r="AP11" s="82">
        <f>SUM(AF10:AF$23)/AF$24</f>
        <v>6.3289158613680535E-2</v>
      </c>
      <c r="AQ11" s="83">
        <f>SUM(AG10:AG$23)/AG$24</f>
        <v>4.9814845242490746E-2</v>
      </c>
      <c r="AR11" s="71"/>
    </row>
    <row r="12" spans="1:44" x14ac:dyDescent="0.2">
      <c r="A12" s="63">
        <v>8</v>
      </c>
      <c r="B12" s="72">
        <v>0</v>
      </c>
      <c r="C12" s="72">
        <v>0</v>
      </c>
      <c r="D12" s="72">
        <v>0</v>
      </c>
      <c r="E12" s="72">
        <v>0</v>
      </c>
      <c r="F12" s="72">
        <v>0</v>
      </c>
      <c r="G12" s="72">
        <v>812.55820000000006</v>
      </c>
      <c r="H12" s="73">
        <v>0</v>
      </c>
      <c r="I12" s="74">
        <f t="shared" si="0"/>
        <v>812.55820000000006</v>
      </c>
      <c r="K12" s="70">
        <f t="shared" si="1"/>
        <v>6</v>
      </c>
      <c r="L12" s="81">
        <f>SUM(B11:B$23)/B$24</f>
        <v>0</v>
      </c>
      <c r="M12" s="81">
        <f>SUM(C11:C$23)/C$24</f>
        <v>0</v>
      </c>
      <c r="N12" s="81">
        <f>SUM(D11:D$23)/D$24</f>
        <v>0</v>
      </c>
      <c r="O12" s="81">
        <f>SUM(E11:E$23)/E$24</f>
        <v>0</v>
      </c>
      <c r="P12" s="81">
        <f>SUM(F11:F$23)/F$24</f>
        <v>0</v>
      </c>
      <c r="Q12" s="81">
        <f>SUM(G11:G$23)/G$24</f>
        <v>2.7811919764090105E-2</v>
      </c>
      <c r="R12" s="82">
        <f>SUM(H11:H$23)/H$24</f>
        <v>6.984892048725413E-3</v>
      </c>
      <c r="S12" s="83">
        <f>SUM(I11:I$23)/I$24</f>
        <v>1.7571292964185217E-2</v>
      </c>
      <c r="T12" s="71"/>
      <c r="Y12" s="63">
        <v>8</v>
      </c>
      <c r="Z12" s="72">
        <v>0</v>
      </c>
      <c r="AA12" s="72">
        <v>0</v>
      </c>
      <c r="AB12" s="72">
        <v>0</v>
      </c>
      <c r="AC12" s="72">
        <v>0</v>
      </c>
      <c r="AD12" s="72">
        <v>0</v>
      </c>
      <c r="AE12" s="72">
        <v>812.55820000000006</v>
      </c>
      <c r="AF12" s="73">
        <v>0</v>
      </c>
      <c r="AG12" s="74">
        <f t="shared" si="2"/>
        <v>812.55820000000006</v>
      </c>
      <c r="AI12" s="70">
        <f t="shared" si="3"/>
        <v>6</v>
      </c>
      <c r="AJ12" s="81">
        <f>SUM(Z11:Z$23)/Z$24</f>
        <v>0</v>
      </c>
      <c r="AK12" s="81">
        <f>SUM(AA11:AA$23)/AA$24</f>
        <v>0</v>
      </c>
      <c r="AL12" s="81">
        <f>SUM(AB11:AB$23)/AB$24</f>
        <v>0</v>
      </c>
      <c r="AM12" s="81">
        <f>SUM(AC11:AC$23)/AC$24</f>
        <v>0</v>
      </c>
      <c r="AN12" s="81">
        <f>SUM(AD11:AD$23)/AD$24</f>
        <v>0</v>
      </c>
      <c r="AO12" s="81">
        <f>SUM(AE11:AE$23)/AE$24</f>
        <v>2.7811919764090105E-2</v>
      </c>
      <c r="AP12" s="82">
        <f>SUM(AF11:AF$23)/AF$24</f>
        <v>6.984892048725413E-3</v>
      </c>
      <c r="AQ12" s="83">
        <f>SUM(AG11:AG$23)/AG$24</f>
        <v>1.7571292964185217E-2</v>
      </c>
      <c r="AR12" s="71"/>
    </row>
    <row r="13" spans="1:44" x14ac:dyDescent="0.2">
      <c r="A13" s="63">
        <v>9</v>
      </c>
      <c r="B13" s="72">
        <v>0</v>
      </c>
      <c r="C13" s="72">
        <v>0</v>
      </c>
      <c r="D13" s="72">
        <v>0</v>
      </c>
      <c r="E13" s="72">
        <v>0</v>
      </c>
      <c r="F13" s="72">
        <v>0</v>
      </c>
      <c r="G13" s="72">
        <v>9023.1321000000007</v>
      </c>
      <c r="H13" s="73">
        <v>0</v>
      </c>
      <c r="I13" s="74">
        <f t="shared" si="0"/>
        <v>9023.1321000000007</v>
      </c>
      <c r="K13" s="70">
        <f t="shared" si="1"/>
        <v>8</v>
      </c>
      <c r="L13" s="81">
        <f>SUM(B12:B$23)/B$24</f>
        <v>0</v>
      </c>
      <c r="M13" s="81">
        <f>SUM(C12:C$23)/C$24</f>
        <v>0</v>
      </c>
      <c r="N13" s="81">
        <f>SUM(D12:D$23)/D$24</f>
        <v>0</v>
      </c>
      <c r="O13" s="81">
        <f>SUM(E12:E$23)/E$24</f>
        <v>0</v>
      </c>
      <c r="P13" s="81">
        <f>SUM(F12:F$23)/F$24</f>
        <v>0</v>
      </c>
      <c r="Q13" s="81">
        <f>SUM(G12:G$23)/G$24</f>
        <v>2.7811919764090105E-2</v>
      </c>
      <c r="R13" s="82">
        <f>SUM(H12:H$23)/H$24</f>
        <v>4.1629764981785907E-4</v>
      </c>
      <c r="S13" s="83">
        <f>SUM(I12:I$23)/I$24</f>
        <v>1.4341522266298576E-2</v>
      </c>
      <c r="T13" s="71"/>
      <c r="Y13" s="63">
        <v>9</v>
      </c>
      <c r="Z13" s="72">
        <v>0</v>
      </c>
      <c r="AA13" s="72">
        <v>0</v>
      </c>
      <c r="AB13" s="72">
        <v>0</v>
      </c>
      <c r="AC13" s="72">
        <v>0</v>
      </c>
      <c r="AD13" s="72">
        <v>0</v>
      </c>
      <c r="AE13" s="72">
        <v>9023.1321000000007</v>
      </c>
      <c r="AF13" s="73">
        <v>0</v>
      </c>
      <c r="AG13" s="74">
        <f t="shared" si="2"/>
        <v>9023.1321000000007</v>
      </c>
      <c r="AI13" s="70">
        <f t="shared" si="3"/>
        <v>8</v>
      </c>
      <c r="AJ13" s="81">
        <f>SUM(Z12:Z$23)/Z$24</f>
        <v>0</v>
      </c>
      <c r="AK13" s="81">
        <f>SUM(AA12:AA$23)/AA$24</f>
        <v>0</v>
      </c>
      <c r="AL13" s="81">
        <f>SUM(AB12:AB$23)/AB$24</f>
        <v>0</v>
      </c>
      <c r="AM13" s="81">
        <f>SUM(AC12:AC$23)/AC$24</f>
        <v>0</v>
      </c>
      <c r="AN13" s="81">
        <f>SUM(AD12:AD$23)/AD$24</f>
        <v>0</v>
      </c>
      <c r="AO13" s="81">
        <f>SUM(AE12:AE$23)/AE$24</f>
        <v>2.7811919764090105E-2</v>
      </c>
      <c r="AP13" s="82">
        <f>SUM(AF12:AF$23)/AF$24</f>
        <v>4.1629764981785907E-4</v>
      </c>
      <c r="AQ13" s="83">
        <f>SUM(AG12:AG$23)/AG$24</f>
        <v>1.4341522266298576E-2</v>
      </c>
      <c r="AR13" s="71"/>
    </row>
    <row r="14" spans="1:44" x14ac:dyDescent="0.2">
      <c r="A14" s="63">
        <v>12</v>
      </c>
      <c r="B14" s="72">
        <v>0</v>
      </c>
      <c r="C14" s="72">
        <v>0</v>
      </c>
      <c r="D14" s="72">
        <v>0</v>
      </c>
      <c r="E14" s="72">
        <v>0</v>
      </c>
      <c r="F14" s="72">
        <v>0</v>
      </c>
      <c r="G14" s="72">
        <v>0</v>
      </c>
      <c r="H14" s="73">
        <v>142.4151</v>
      </c>
      <c r="I14" s="74">
        <f t="shared" si="0"/>
        <v>142.4151</v>
      </c>
      <c r="K14" s="70">
        <f t="shared" si="1"/>
        <v>9</v>
      </c>
      <c r="L14" s="81">
        <f>SUM(B13:B$23)/B$24</f>
        <v>0</v>
      </c>
      <c r="M14" s="81">
        <f>SUM(C13:C$23)/C$24</f>
        <v>0</v>
      </c>
      <c r="N14" s="81">
        <f>SUM(D13:D$23)/D$24</f>
        <v>0</v>
      </c>
      <c r="O14" s="81">
        <f>SUM(E13:E$23)/E$24</f>
        <v>0</v>
      </c>
      <c r="P14" s="81">
        <f>SUM(F13:F$23)/F$24</f>
        <v>0</v>
      </c>
      <c r="Q14" s="81">
        <f>SUM(G13:G$23)/G$24</f>
        <v>2.5514287084251307E-2</v>
      </c>
      <c r="R14" s="82">
        <f>SUM(H13:H$23)/H$24</f>
        <v>4.1629764981785907E-4</v>
      </c>
      <c r="S14" s="83">
        <f>SUM(I13:I$23)/I$24</f>
        <v>1.3173633067817721E-2</v>
      </c>
      <c r="T14" s="71"/>
      <c r="Y14" s="63">
        <v>12</v>
      </c>
      <c r="Z14" s="72">
        <v>0</v>
      </c>
      <c r="AA14" s="72">
        <v>0</v>
      </c>
      <c r="AB14" s="72">
        <v>0</v>
      </c>
      <c r="AC14" s="72">
        <v>0</v>
      </c>
      <c r="AD14" s="72">
        <v>0</v>
      </c>
      <c r="AE14" s="72">
        <v>0</v>
      </c>
      <c r="AF14" s="73">
        <v>142.4151</v>
      </c>
      <c r="AG14" s="74">
        <f t="shared" si="2"/>
        <v>142.4151</v>
      </c>
      <c r="AI14" s="70">
        <f t="shared" si="3"/>
        <v>9</v>
      </c>
      <c r="AJ14" s="81">
        <f>SUM(Z13:Z$23)/Z$24</f>
        <v>0</v>
      </c>
      <c r="AK14" s="81">
        <f>SUM(AA13:AA$23)/AA$24</f>
        <v>0</v>
      </c>
      <c r="AL14" s="81">
        <f>SUM(AB13:AB$23)/AB$24</f>
        <v>0</v>
      </c>
      <c r="AM14" s="81">
        <f>SUM(AC13:AC$23)/AC$24</f>
        <v>0</v>
      </c>
      <c r="AN14" s="81">
        <f>SUM(AD13:AD$23)/AD$24</f>
        <v>0</v>
      </c>
      <c r="AO14" s="81">
        <f>SUM(AE13:AE$23)/AE$24</f>
        <v>2.5514287084251307E-2</v>
      </c>
      <c r="AP14" s="82">
        <f>SUM(AF13:AF$23)/AF$24</f>
        <v>4.1629764981785907E-4</v>
      </c>
      <c r="AQ14" s="83">
        <f>SUM(AG13:AG$23)/AG$24</f>
        <v>1.3173633067817721E-2</v>
      </c>
      <c r="AR14" s="71"/>
    </row>
    <row r="15" spans="1:44" x14ac:dyDescent="0.2">
      <c r="A15" s="63"/>
      <c r="B15" s="72"/>
      <c r="C15" s="72"/>
      <c r="D15" s="72"/>
      <c r="E15" s="72"/>
      <c r="F15" s="72"/>
      <c r="G15" s="72"/>
      <c r="H15" s="73"/>
      <c r="I15" s="74"/>
      <c r="K15" s="70">
        <f t="shared" si="1"/>
        <v>12</v>
      </c>
      <c r="L15" s="81">
        <f>SUM(B14:B$23)/B$24</f>
        <v>0</v>
      </c>
      <c r="M15" s="81">
        <f>SUM(C14:C$23)/C$24</f>
        <v>0</v>
      </c>
      <c r="N15" s="81">
        <f>SUM(D14:D$23)/D$24</f>
        <v>0</v>
      </c>
      <c r="O15" s="81">
        <f>SUM(E14:E$23)/E$24</f>
        <v>0</v>
      </c>
      <c r="P15" s="81">
        <f>SUM(F14:F$23)/F$24</f>
        <v>0</v>
      </c>
      <c r="Q15" s="81">
        <f>SUM(G14:G$23)/G$24</f>
        <v>0</v>
      </c>
      <c r="R15" s="82">
        <f>SUM(H14:H$23)/H$24</f>
        <v>4.1629764981785907E-4</v>
      </c>
      <c r="S15" s="83">
        <f>SUM(I14:I$23)/I$24</f>
        <v>2.0469310012571505E-4</v>
      </c>
      <c r="T15" s="71"/>
      <c r="Y15" s="63"/>
      <c r="Z15" s="72"/>
      <c r="AA15" s="72"/>
      <c r="AB15" s="72"/>
      <c r="AC15" s="72"/>
      <c r="AD15" s="72"/>
      <c r="AE15" s="72"/>
      <c r="AF15" s="73"/>
      <c r="AG15" s="74"/>
      <c r="AI15" s="70">
        <f t="shared" si="3"/>
        <v>12</v>
      </c>
      <c r="AJ15" s="81">
        <f>SUM(Z14:Z$23)/Z$24</f>
        <v>0</v>
      </c>
      <c r="AK15" s="81">
        <f>SUM(AA14:AA$23)/AA$24</f>
        <v>0</v>
      </c>
      <c r="AL15" s="81">
        <f>SUM(AB14:AB$23)/AB$24</f>
        <v>0</v>
      </c>
      <c r="AM15" s="81">
        <f>SUM(AC14:AC$23)/AC$24</f>
        <v>0</v>
      </c>
      <c r="AN15" s="81">
        <f>SUM(AD14:AD$23)/AD$24</f>
        <v>0</v>
      </c>
      <c r="AO15" s="81">
        <f>SUM(AE14:AE$23)/AE$24</f>
        <v>0</v>
      </c>
      <c r="AP15" s="82">
        <f>SUM(AF14:AF$23)/AF$24</f>
        <v>4.1629764981785907E-4</v>
      </c>
      <c r="AQ15" s="83">
        <f>SUM(AG14:AG$23)/AG$24</f>
        <v>2.0469310012571505E-4</v>
      </c>
      <c r="AR15" s="71"/>
    </row>
    <row r="16" spans="1:44" x14ac:dyDescent="0.2">
      <c r="A16" s="63"/>
      <c r="B16" s="72"/>
      <c r="C16" s="72"/>
      <c r="D16" s="72"/>
      <c r="E16" s="72"/>
      <c r="F16" s="72"/>
      <c r="G16" s="72"/>
      <c r="H16" s="73"/>
      <c r="I16" s="74"/>
      <c r="K16" s="70"/>
      <c r="L16" s="81"/>
      <c r="M16" s="81"/>
      <c r="N16" s="81"/>
      <c r="O16" s="81"/>
      <c r="P16" s="81"/>
      <c r="Q16" s="81"/>
      <c r="R16" s="82"/>
      <c r="S16" s="83"/>
      <c r="T16" s="71"/>
      <c r="Y16" s="63"/>
      <c r="Z16" s="72"/>
      <c r="AA16" s="72"/>
      <c r="AB16" s="72"/>
      <c r="AC16" s="72"/>
      <c r="AD16" s="72"/>
      <c r="AE16" s="72"/>
      <c r="AF16" s="73"/>
      <c r="AG16" s="74"/>
      <c r="AI16" s="70"/>
      <c r="AJ16" s="81"/>
      <c r="AK16" s="81"/>
      <c r="AL16" s="81"/>
      <c r="AM16" s="81"/>
      <c r="AN16" s="81"/>
      <c r="AO16" s="81"/>
      <c r="AP16" s="82"/>
      <c r="AQ16" s="83"/>
      <c r="AR16" s="71"/>
    </row>
    <row r="17" spans="1:46" x14ac:dyDescent="0.2">
      <c r="A17" s="63"/>
      <c r="B17" s="72"/>
      <c r="C17" s="72"/>
      <c r="D17" s="72"/>
      <c r="E17" s="72"/>
      <c r="F17" s="72"/>
      <c r="G17" s="72"/>
      <c r="H17" s="73"/>
      <c r="I17" s="74"/>
      <c r="K17" s="70"/>
      <c r="L17" s="81"/>
      <c r="M17" s="81"/>
      <c r="N17" s="81"/>
      <c r="O17" s="81"/>
      <c r="P17" s="81"/>
      <c r="Q17" s="81"/>
      <c r="R17" s="82"/>
      <c r="S17" s="83"/>
      <c r="T17" s="71"/>
      <c r="Y17" s="63"/>
      <c r="Z17" s="72"/>
      <c r="AA17" s="72"/>
      <c r="AB17" s="72"/>
      <c r="AC17" s="72"/>
      <c r="AD17" s="72"/>
      <c r="AE17" s="72"/>
      <c r="AF17" s="73"/>
      <c r="AG17" s="74"/>
      <c r="AI17" s="70"/>
      <c r="AJ17" s="81"/>
      <c r="AK17" s="81"/>
      <c r="AL17" s="81"/>
      <c r="AM17" s="81"/>
      <c r="AN17" s="81"/>
      <c r="AO17" s="81"/>
      <c r="AP17" s="82"/>
      <c r="AQ17" s="83"/>
      <c r="AR17" s="71"/>
    </row>
    <row r="18" spans="1:46" x14ac:dyDescent="0.2">
      <c r="A18" s="63"/>
      <c r="B18" s="72"/>
      <c r="C18" s="72"/>
      <c r="D18" s="72"/>
      <c r="E18" s="72"/>
      <c r="F18" s="72"/>
      <c r="G18" s="72"/>
      <c r="H18" s="73"/>
      <c r="I18" s="74"/>
      <c r="K18" s="70"/>
      <c r="L18" s="81"/>
      <c r="M18" s="81"/>
      <c r="N18" s="81"/>
      <c r="O18" s="81"/>
      <c r="P18" s="81"/>
      <c r="Q18" s="81"/>
      <c r="R18" s="82"/>
      <c r="S18" s="83"/>
      <c r="T18" s="71"/>
      <c r="Y18" s="63"/>
      <c r="Z18" s="72"/>
      <c r="AA18" s="72"/>
      <c r="AB18" s="72"/>
      <c r="AC18" s="72"/>
      <c r="AD18" s="72"/>
      <c r="AE18" s="72"/>
      <c r="AF18" s="73"/>
      <c r="AG18" s="74"/>
      <c r="AI18" s="70"/>
      <c r="AJ18" s="81"/>
      <c r="AK18" s="81"/>
      <c r="AL18" s="81"/>
      <c r="AM18" s="81"/>
      <c r="AN18" s="81"/>
      <c r="AO18" s="81"/>
      <c r="AP18" s="82"/>
      <c r="AQ18" s="83"/>
      <c r="AR18" s="71"/>
    </row>
    <row r="19" spans="1:46" ht="16" x14ac:dyDescent="0.2">
      <c r="A19" s="63"/>
      <c r="B19" s="72"/>
      <c r="C19" s="72"/>
      <c r="D19" s="72"/>
      <c r="E19" s="72"/>
      <c r="F19" s="72"/>
      <c r="G19" s="72"/>
      <c r="H19" s="73"/>
      <c r="I19" s="74"/>
      <c r="K19" s="71" t="s">
        <v>196</v>
      </c>
      <c r="L19" s="71"/>
      <c r="M19" s="71"/>
      <c r="N19" s="71"/>
      <c r="O19" s="71"/>
      <c r="P19" s="71"/>
      <c r="Q19" s="71"/>
      <c r="R19" s="112">
        <f>SUM(R7:R18)</f>
        <v>1.3804762261062054</v>
      </c>
      <c r="S19" s="85">
        <f>SUM(S7:S18)</f>
        <v>1.605890659375268</v>
      </c>
      <c r="T19" s="71"/>
      <c r="Y19" s="63"/>
      <c r="Z19" s="72"/>
      <c r="AA19" s="72"/>
      <c r="AB19" s="72"/>
      <c r="AC19" s="72"/>
      <c r="AD19" s="72"/>
      <c r="AE19" s="72"/>
      <c r="AF19" s="73"/>
      <c r="AG19" s="74"/>
      <c r="AI19" s="71" t="s">
        <v>196</v>
      </c>
      <c r="AJ19" s="71"/>
      <c r="AK19" s="71"/>
      <c r="AL19" s="71"/>
      <c r="AM19" s="71"/>
      <c r="AN19" s="71"/>
      <c r="AO19" s="71"/>
      <c r="AP19" s="84">
        <f>SUM(AP7:AP18)</f>
        <v>1.3804762261062054</v>
      </c>
      <c r="AQ19" s="85">
        <f>SUM(AQ7:AQ18)</f>
        <v>1.605890659375268</v>
      </c>
      <c r="AR19" s="71"/>
    </row>
    <row r="20" spans="1:46" x14ac:dyDescent="0.2">
      <c r="A20" s="63"/>
      <c r="B20" s="72"/>
      <c r="C20" s="72"/>
      <c r="D20" s="72"/>
      <c r="E20" s="72"/>
      <c r="F20" s="72"/>
      <c r="G20" s="72"/>
      <c r="H20" s="73"/>
      <c r="I20" s="74"/>
      <c r="K20" s="71"/>
      <c r="L20" s="71"/>
      <c r="M20" s="71"/>
      <c r="N20" s="71"/>
      <c r="O20" s="71"/>
      <c r="P20" s="71"/>
      <c r="Q20" s="71"/>
      <c r="R20" s="71"/>
      <c r="S20" s="71"/>
      <c r="T20" s="71"/>
      <c r="Y20" s="63"/>
      <c r="Z20" s="72"/>
      <c r="AA20" s="72"/>
      <c r="AB20" s="72"/>
      <c r="AC20" s="72"/>
      <c r="AD20" s="72"/>
      <c r="AE20" s="72"/>
      <c r="AF20" s="73"/>
      <c r="AG20" s="74"/>
      <c r="AI20" s="71"/>
      <c r="AJ20" s="71"/>
      <c r="AK20" s="71"/>
      <c r="AL20" s="71"/>
      <c r="AM20" s="71"/>
      <c r="AN20" s="71"/>
      <c r="AO20" s="71"/>
      <c r="AP20" s="71"/>
      <c r="AQ20" s="71"/>
      <c r="AR20" s="71"/>
    </row>
    <row r="21" spans="1:46" x14ac:dyDescent="0.2">
      <c r="A21" s="63"/>
      <c r="B21" s="72"/>
      <c r="C21" s="72"/>
      <c r="D21" s="72"/>
      <c r="E21" s="72"/>
      <c r="F21" s="72"/>
      <c r="G21" s="72"/>
      <c r="H21" s="73"/>
      <c r="I21" s="74"/>
      <c r="K21" s="71"/>
      <c r="L21" s="71" t="s">
        <v>197</v>
      </c>
      <c r="M21" s="71"/>
      <c r="N21" s="71"/>
      <c r="O21" s="71"/>
      <c r="P21" s="71"/>
      <c r="Q21" s="71"/>
      <c r="R21" s="71"/>
      <c r="S21" s="71"/>
      <c r="T21" s="71"/>
      <c r="Y21" s="63"/>
      <c r="Z21" s="72"/>
      <c r="AA21" s="72"/>
      <c r="AB21" s="72"/>
      <c r="AC21" s="72"/>
      <c r="AD21" s="72"/>
      <c r="AE21" s="72"/>
      <c r="AF21" s="73"/>
      <c r="AG21" s="74"/>
      <c r="AI21" s="71"/>
      <c r="AJ21" s="71" t="s">
        <v>197</v>
      </c>
      <c r="AK21" s="71"/>
      <c r="AL21" s="71"/>
      <c r="AM21" s="71"/>
      <c r="AN21" s="71"/>
      <c r="AO21" s="71"/>
      <c r="AP21" s="71"/>
      <c r="AQ21" s="71"/>
      <c r="AR21" s="71"/>
    </row>
    <row r="22" spans="1:46" x14ac:dyDescent="0.2">
      <c r="A22" s="63"/>
      <c r="B22" s="72"/>
      <c r="C22" s="72"/>
      <c r="D22" s="72"/>
      <c r="E22" s="72"/>
      <c r="F22" s="72"/>
      <c r="G22" s="72"/>
      <c r="H22" s="73"/>
      <c r="I22" s="74"/>
      <c r="K22" s="71" t="s">
        <v>192</v>
      </c>
      <c r="L22" s="71" t="s">
        <v>193</v>
      </c>
      <c r="M22" s="71" t="s">
        <v>9</v>
      </c>
      <c r="N22" s="71" t="s">
        <v>10</v>
      </c>
      <c r="O22" s="71" t="s">
        <v>11</v>
      </c>
      <c r="P22" s="71" t="s">
        <v>12</v>
      </c>
      <c r="Q22" s="71" t="s">
        <v>13</v>
      </c>
      <c r="R22" s="86" t="s">
        <v>14</v>
      </c>
      <c r="S22" s="77" t="s">
        <v>194</v>
      </c>
      <c r="T22" s="71"/>
      <c r="U22" s="71" t="s">
        <v>14</v>
      </c>
      <c r="V22" s="77" t="s">
        <v>194</v>
      </c>
      <c r="Y22" s="63"/>
      <c r="Z22" s="72"/>
      <c r="AA22" s="72"/>
      <c r="AB22" s="72"/>
      <c r="AC22" s="72"/>
      <c r="AD22" s="72"/>
      <c r="AE22" s="72"/>
      <c r="AF22" s="73"/>
      <c r="AG22" s="74"/>
      <c r="AI22" s="71" t="s">
        <v>192</v>
      </c>
      <c r="AJ22" s="71" t="s">
        <v>193</v>
      </c>
      <c r="AK22" s="71" t="s">
        <v>9</v>
      </c>
      <c r="AL22" s="71" t="s">
        <v>10</v>
      </c>
      <c r="AM22" s="71" t="s">
        <v>11</v>
      </c>
      <c r="AN22" s="71" t="s">
        <v>12</v>
      </c>
      <c r="AO22" s="71" t="s">
        <v>13</v>
      </c>
      <c r="AP22" s="86" t="s">
        <v>14</v>
      </c>
      <c r="AQ22" s="77" t="s">
        <v>194</v>
      </c>
      <c r="AR22" s="71"/>
      <c r="AS22" s="71" t="s">
        <v>14</v>
      </c>
      <c r="AT22" s="77" t="s">
        <v>194</v>
      </c>
    </row>
    <row r="23" spans="1:46" x14ac:dyDescent="0.2">
      <c r="A23" s="87"/>
      <c r="B23" s="72"/>
      <c r="C23" s="72"/>
      <c r="D23" s="72"/>
      <c r="E23" s="72"/>
      <c r="F23" s="72"/>
      <c r="G23" s="72"/>
      <c r="H23" s="73"/>
      <c r="I23" s="74"/>
      <c r="K23" s="63">
        <v>0</v>
      </c>
      <c r="L23" s="88">
        <f>L7/L6</f>
        <v>1</v>
      </c>
      <c r="M23" s="88">
        <f t="shared" ref="M23:Q23" si="4">M7/M6</f>
        <v>0.39911530262753447</v>
      </c>
      <c r="N23" s="88">
        <f t="shared" si="4"/>
        <v>0.59875777263735874</v>
      </c>
      <c r="O23" s="88">
        <f t="shared" si="4"/>
        <v>0.69235393548608626</v>
      </c>
      <c r="P23" s="88">
        <f t="shared" si="4"/>
        <v>0.69942002784197277</v>
      </c>
      <c r="Q23" s="88">
        <f t="shared" si="4"/>
        <v>0.79410665005826164</v>
      </c>
      <c r="R23" s="89">
        <f>R7/R6</f>
        <v>0.65221009951981579</v>
      </c>
      <c r="S23" s="90">
        <f>S7/S6</f>
        <v>0.72433627100479414</v>
      </c>
      <c r="T23" s="71"/>
      <c r="U23" s="91">
        <f>R6</f>
        <v>1</v>
      </c>
      <c r="V23" s="92">
        <f>S6</f>
        <v>1</v>
      </c>
      <c r="Y23" s="87"/>
      <c r="Z23" s="72"/>
      <c r="AA23" s="72"/>
      <c r="AB23" s="72"/>
      <c r="AC23" s="72"/>
      <c r="AD23" s="72"/>
      <c r="AE23" s="72"/>
      <c r="AF23" s="73"/>
      <c r="AG23" s="74"/>
      <c r="AI23" s="63">
        <v>0</v>
      </c>
      <c r="AJ23" s="88">
        <f>AJ7/AJ6</f>
        <v>1</v>
      </c>
      <c r="AK23" s="88">
        <f t="shared" ref="AK23:AO23" si="5">AK7/AK6</f>
        <v>0.39911530262753447</v>
      </c>
      <c r="AL23" s="88">
        <f t="shared" si="5"/>
        <v>0.59875777263735874</v>
      </c>
      <c r="AM23" s="88">
        <f t="shared" si="5"/>
        <v>0.69235393548608626</v>
      </c>
      <c r="AN23" s="88">
        <f t="shared" si="5"/>
        <v>0.69942002784197277</v>
      </c>
      <c r="AO23" s="88">
        <f t="shared" si="5"/>
        <v>0.79410665005826164</v>
      </c>
      <c r="AP23" s="89">
        <f>AP7/AP6</f>
        <v>0.65221009951981579</v>
      </c>
      <c r="AQ23" s="90">
        <f>AQ7/AQ6</f>
        <v>0.72433627100479414</v>
      </c>
      <c r="AR23" s="71"/>
      <c r="AS23" s="91">
        <f>AP6</f>
        <v>1</v>
      </c>
      <c r="AT23" s="92">
        <f>AQ6</f>
        <v>1</v>
      </c>
    </row>
    <row r="24" spans="1:46" x14ac:dyDescent="0.2">
      <c r="A24" s="93" t="s">
        <v>198</v>
      </c>
      <c r="B24" s="94">
        <f t="shared" ref="B24:I24" si="6">SUM(B5:B23)</f>
        <v>8337.5553999999993</v>
      </c>
      <c r="C24" s="94">
        <f t="shared" si="6"/>
        <v>78689.145199999999</v>
      </c>
      <c r="D24" s="94">
        <f t="shared" si="6"/>
        <v>135148.43179999999</v>
      </c>
      <c r="E24" s="94">
        <f t="shared" si="6"/>
        <v>203600.09220000001</v>
      </c>
      <c r="F24" s="94">
        <f t="shared" si="6"/>
        <v>249347.4178</v>
      </c>
      <c r="G24" s="94">
        <f t="shared" si="6"/>
        <v>353650.1753</v>
      </c>
      <c r="H24" s="95">
        <f t="shared" si="6"/>
        <v>342099.21689999994</v>
      </c>
      <c r="I24" s="96">
        <f t="shared" si="6"/>
        <v>695749.3922</v>
      </c>
      <c r="K24" s="63">
        <v>1</v>
      </c>
      <c r="L24" s="88">
        <f t="shared" ref="L24:S31" si="7">L8/L7</f>
        <v>0</v>
      </c>
      <c r="M24" s="88">
        <f t="shared" si="7"/>
        <v>0.21558377206526055</v>
      </c>
      <c r="N24" s="88">
        <f t="shared" si="7"/>
        <v>0.63087862763829905</v>
      </c>
      <c r="O24" s="88">
        <f t="shared" si="7"/>
        <v>0.4483775184443346</v>
      </c>
      <c r="P24" s="88">
        <f t="shared" si="7"/>
        <v>0.5324932899008461</v>
      </c>
      <c r="Q24" s="88">
        <f t="shared" si="7"/>
        <v>0.84316302574873991</v>
      </c>
      <c r="R24" s="89">
        <f>R8/R7</f>
        <v>0.60905892931178829</v>
      </c>
      <c r="S24" s="90">
        <f>S8/S7</f>
        <v>0.73951631021292286</v>
      </c>
      <c r="T24" s="71"/>
      <c r="U24" s="91">
        <f>PRODUCT(R$23:R23)</f>
        <v>0.65221009951981579</v>
      </c>
      <c r="V24" s="92">
        <f>PRODUCT(S$23:S23)</f>
        <v>0.72433627100479414</v>
      </c>
      <c r="Y24" s="93" t="s">
        <v>198</v>
      </c>
      <c r="Z24" s="94">
        <f t="shared" ref="Z24:AG24" si="8">SUM(Z5:Z23)</f>
        <v>8337.5553999999993</v>
      </c>
      <c r="AA24" s="94">
        <f t="shared" si="8"/>
        <v>78689.145199999999</v>
      </c>
      <c r="AB24" s="94">
        <f t="shared" si="8"/>
        <v>135148.43179999999</v>
      </c>
      <c r="AC24" s="94">
        <f t="shared" si="8"/>
        <v>203600.09220000001</v>
      </c>
      <c r="AD24" s="94">
        <f t="shared" si="8"/>
        <v>249347.4178</v>
      </c>
      <c r="AE24" s="94">
        <f t="shared" si="8"/>
        <v>353650.1753</v>
      </c>
      <c r="AF24" s="95">
        <f t="shared" si="8"/>
        <v>342099.21689999994</v>
      </c>
      <c r="AG24" s="96">
        <f t="shared" si="8"/>
        <v>695749.3922</v>
      </c>
      <c r="AI24" s="63">
        <v>1</v>
      </c>
      <c r="AJ24" s="88">
        <f t="shared" ref="AJ24:AP24" si="9">AJ8/AJ7</f>
        <v>0</v>
      </c>
      <c r="AK24" s="88">
        <f t="shared" si="9"/>
        <v>0.21558377206526055</v>
      </c>
      <c r="AL24" s="88">
        <f t="shared" si="9"/>
        <v>0.63087862763829905</v>
      </c>
      <c r="AM24" s="88">
        <f t="shared" si="9"/>
        <v>0.4483775184443346</v>
      </c>
      <c r="AN24" s="88">
        <f t="shared" si="9"/>
        <v>0.5324932899008461</v>
      </c>
      <c r="AO24" s="88">
        <f t="shared" si="9"/>
        <v>0.84316302574873991</v>
      </c>
      <c r="AP24" s="89">
        <f t="shared" si="9"/>
        <v>0.60905892931178829</v>
      </c>
      <c r="AQ24" s="90">
        <f>AQ8/AQ7</f>
        <v>0.73951631021292286</v>
      </c>
      <c r="AR24" s="71"/>
      <c r="AS24" s="91">
        <f>PRODUCT(AP$23:AP23)</f>
        <v>0.65221009951981579</v>
      </c>
      <c r="AT24" s="92">
        <f>PRODUCT(AQ$23:AQ23)</f>
        <v>0.72433627100479414</v>
      </c>
    </row>
    <row r="25" spans="1:46" ht="16" x14ac:dyDescent="0.2">
      <c r="A25" s="97" t="s">
        <v>199</v>
      </c>
      <c r="B25" s="98">
        <f t="shared" ref="B25:G25" si="10">SUMPRODUCT($A$5:$A$23,B5:B23)/SUM(B5:B23)</f>
        <v>1</v>
      </c>
      <c r="C25" s="98">
        <f>SUMPRODUCT($A$5:$A$23,C5:C23)/SUM(C5:C23)</f>
        <v>0.48515808505694635</v>
      </c>
      <c r="D25" s="98">
        <f t="shared" si="10"/>
        <v>1.0836310392171344</v>
      </c>
      <c r="E25" s="98">
        <f t="shared" si="10"/>
        <v>1.0644328681693986</v>
      </c>
      <c r="F25" s="98">
        <f t="shared" si="10"/>
        <v>1.2595293657779361</v>
      </c>
      <c r="G25" s="98">
        <f t="shared" si="10"/>
        <v>1.8517545030042006</v>
      </c>
      <c r="H25" s="99">
        <f>SUMPRODUCT($A$5:$A$23,H5:H23)/SUM(H5:H23)</f>
        <v>1.3817251190556588</v>
      </c>
      <c r="I25" s="85">
        <f>SUMPRODUCT($A$5:$A$23,I5:I23)/SUM(I5:I23)</f>
        <v>1.6206415678418178</v>
      </c>
      <c r="K25" s="63">
        <v>2</v>
      </c>
      <c r="L25" s="88"/>
      <c r="M25" s="88">
        <f t="shared" si="7"/>
        <v>0</v>
      </c>
      <c r="N25" s="88">
        <f t="shared" si="7"/>
        <v>0.28360458836976332</v>
      </c>
      <c r="O25" s="88">
        <f t="shared" si="7"/>
        <v>0.14074799516091707</v>
      </c>
      <c r="P25" s="88">
        <f t="shared" si="7"/>
        <v>0.41045674996107978</v>
      </c>
      <c r="Q25" s="88">
        <f t="shared" si="7"/>
        <v>0.29244984168587468</v>
      </c>
      <c r="R25" s="89">
        <f t="shared" si="7"/>
        <v>0.44544853968515885</v>
      </c>
      <c r="S25" s="90">
        <f>S9/S8</f>
        <v>0.34823848804071117</v>
      </c>
      <c r="T25" s="71"/>
      <c r="U25" s="91">
        <f>PRODUCT(R$23:R24)</f>
        <v>0.39723438489987389</v>
      </c>
      <c r="V25" s="92">
        <f>PRODUCT(S$23:S24)</f>
        <v>0.5356584864868531</v>
      </c>
      <c r="Y25" s="97" t="s">
        <v>199</v>
      </c>
      <c r="Z25" s="98">
        <f>SUMPRODUCT($Y$5:$Y$23,Z5:Z23)/SUM(Z5:Z23)</f>
        <v>1</v>
      </c>
      <c r="AA25" s="98">
        <f t="shared" ref="AA25:AG25" si="11">SUMPRODUCT($Y$5:$Y$23,AA5:AA23)/SUM(AA5:AA23)</f>
        <v>0.48515808505694635</v>
      </c>
      <c r="AB25" s="98">
        <f t="shared" si="11"/>
        <v>1.0836310392171344</v>
      </c>
      <c r="AC25" s="98">
        <f t="shared" si="11"/>
        <v>1.0644328681693986</v>
      </c>
      <c r="AD25" s="98">
        <f t="shared" si="11"/>
        <v>1.2595293657779361</v>
      </c>
      <c r="AE25" s="98">
        <f t="shared" si="11"/>
        <v>1.8517545030042006</v>
      </c>
      <c r="AF25" s="99">
        <f t="shared" si="11"/>
        <v>1.3817251190556588</v>
      </c>
      <c r="AG25" s="85">
        <f t="shared" si="11"/>
        <v>1.6206415678418178</v>
      </c>
      <c r="AI25" s="63">
        <v>2</v>
      </c>
      <c r="AJ25" s="88"/>
      <c r="AK25" s="88">
        <f t="shared" ref="AK25:AP25" si="12">AK9/AK8</f>
        <v>0</v>
      </c>
      <c r="AL25" s="88">
        <f t="shared" si="12"/>
        <v>0.28360458836976332</v>
      </c>
      <c r="AM25" s="88">
        <f t="shared" si="12"/>
        <v>0.14074799516091707</v>
      </c>
      <c r="AN25" s="88">
        <f t="shared" si="12"/>
        <v>0.41045674996107978</v>
      </c>
      <c r="AO25" s="88">
        <f t="shared" si="12"/>
        <v>0.29244984168587468</v>
      </c>
      <c r="AP25" s="89">
        <f t="shared" si="12"/>
        <v>0.44544853968515885</v>
      </c>
      <c r="AQ25" s="90">
        <f>AQ9/AQ8</f>
        <v>0.34823848804071117</v>
      </c>
      <c r="AR25" s="71"/>
      <c r="AS25" s="91">
        <f>PRODUCT(AP$23:AP24)</f>
        <v>0.39723438489987389</v>
      </c>
      <c r="AT25" s="92">
        <f>PRODUCT(AQ$23:AQ24)</f>
        <v>0.5356584864868531</v>
      </c>
    </row>
    <row r="26" spans="1:46" x14ac:dyDescent="0.2">
      <c r="K26" s="63">
        <v>3</v>
      </c>
      <c r="L26" s="88"/>
      <c r="M26" s="88"/>
      <c r="N26" s="88">
        <f t="shared" si="7"/>
        <v>0</v>
      </c>
      <c r="O26" s="88">
        <f t="shared" si="7"/>
        <v>0.20540658802718353</v>
      </c>
      <c r="P26" s="88">
        <f t="shared" si="7"/>
        <v>0.22767067267461827</v>
      </c>
      <c r="Q26" s="88">
        <f t="shared" si="7"/>
        <v>0.23768935966765414</v>
      </c>
      <c r="R26" s="89">
        <f t="shared" si="7"/>
        <v>0.46658659938924624</v>
      </c>
      <c r="S26" s="90">
        <f>S10/S9</f>
        <v>0.34445202695129656</v>
      </c>
      <c r="T26" s="71"/>
      <c r="U26" s="91">
        <f>PRODUCT(R$23:R25)</f>
        <v>0.17694747666638114</v>
      </c>
      <c r="V26" s="92">
        <f>PRODUCT(S$23:S25)</f>
        <v>0.18653690144035745</v>
      </c>
      <c r="AI26" s="63">
        <v>3</v>
      </c>
      <c r="AJ26" s="88"/>
      <c r="AK26" s="88"/>
      <c r="AL26" s="88">
        <f t="shared" ref="AL26:AP26" si="13">AL10/AL9</f>
        <v>0</v>
      </c>
      <c r="AM26" s="88">
        <f t="shared" si="13"/>
        <v>0.20540658802718353</v>
      </c>
      <c r="AN26" s="88">
        <f t="shared" si="13"/>
        <v>0.22767067267461827</v>
      </c>
      <c r="AO26" s="88">
        <f t="shared" si="13"/>
        <v>0.23768935966765414</v>
      </c>
      <c r="AP26" s="89">
        <f t="shared" si="13"/>
        <v>0.46658659938924624</v>
      </c>
      <c r="AQ26" s="90">
        <f>AQ10/AQ9</f>
        <v>0.34445202695129656</v>
      </c>
      <c r="AR26" s="71"/>
      <c r="AS26" s="91">
        <f>PRODUCT(AP$23:AP25)</f>
        <v>0.17694747666638114</v>
      </c>
      <c r="AT26" s="92">
        <f>PRODUCT(AQ$23:AQ25)</f>
        <v>0.18653690144035745</v>
      </c>
    </row>
    <row r="27" spans="1:46" x14ac:dyDescent="0.2">
      <c r="H27" s="100"/>
      <c r="I27" s="100"/>
      <c r="K27" s="63">
        <v>4</v>
      </c>
      <c r="L27" s="88"/>
      <c r="M27" s="88"/>
      <c r="N27" s="88"/>
      <c r="O27" s="88">
        <f t="shared" si="7"/>
        <v>1</v>
      </c>
      <c r="P27" s="88">
        <f t="shared" si="7"/>
        <v>0</v>
      </c>
      <c r="Q27" s="88">
        <f t="shared" si="7"/>
        <v>0.79025574374183005</v>
      </c>
      <c r="R27" s="89">
        <f t="shared" si="7"/>
        <v>0.76657153173104775</v>
      </c>
      <c r="S27" s="101">
        <f t="shared" si="7"/>
        <v>0.77529196366929654</v>
      </c>
      <c r="T27" s="71"/>
      <c r="U27" s="91">
        <f>PRODUCT(R$23:R26)</f>
        <v>8.2561321408274768E-2</v>
      </c>
      <c r="V27" s="92">
        <f>PRODUCT(S$23:S26)</f>
        <v>6.4253013802345355E-2</v>
      </c>
      <c r="AF27" s="100"/>
      <c r="AG27" s="100"/>
      <c r="AI27" s="63">
        <v>4</v>
      </c>
      <c r="AJ27" s="88"/>
      <c r="AK27" s="88"/>
      <c r="AL27" s="88"/>
      <c r="AM27" s="88">
        <f t="shared" ref="AM27:AQ27" si="14">AM11/AM10</f>
        <v>1</v>
      </c>
      <c r="AN27" s="88">
        <f t="shared" si="14"/>
        <v>0</v>
      </c>
      <c r="AO27" s="88">
        <f t="shared" si="14"/>
        <v>0.79025574374183005</v>
      </c>
      <c r="AP27" s="89">
        <f t="shared" si="14"/>
        <v>0.76657153173104775</v>
      </c>
      <c r="AQ27" s="101">
        <f t="shared" si="14"/>
        <v>0.77529196366929654</v>
      </c>
      <c r="AR27" s="71"/>
      <c r="AS27" s="91">
        <f>PRODUCT(AP$23:AP26)</f>
        <v>8.2561321408274768E-2</v>
      </c>
      <c r="AT27" s="92">
        <f>PRODUCT(AQ$23:AQ26)</f>
        <v>6.4253013802345355E-2</v>
      </c>
    </row>
    <row r="28" spans="1:46" x14ac:dyDescent="0.2">
      <c r="K28" s="63">
        <v>5</v>
      </c>
      <c r="L28" s="88"/>
      <c r="M28" s="88"/>
      <c r="N28" s="88"/>
      <c r="O28" s="88"/>
      <c r="P28" s="88"/>
      <c r="Q28" s="88">
        <f t="shared" si="7"/>
        <v>0.75615667256970753</v>
      </c>
      <c r="R28" s="89">
        <f t="shared" si="7"/>
        <v>0.11036474811367715</v>
      </c>
      <c r="S28" s="101">
        <f t="shared" si="7"/>
        <v>0.35273205966315774</v>
      </c>
      <c r="T28" s="71"/>
      <c r="U28" s="91">
        <f>PRODUCT(R$23:R27)</f>
        <v>6.3289158613680535E-2</v>
      </c>
      <c r="V28" s="92">
        <f>PRODUCT(S$23:S27)</f>
        <v>4.9814845242490746E-2</v>
      </c>
      <c r="AI28" s="63">
        <v>5</v>
      </c>
      <c r="AJ28" s="88"/>
      <c r="AK28" s="88"/>
      <c r="AL28" s="88"/>
      <c r="AM28" s="88"/>
      <c r="AN28" s="88"/>
      <c r="AO28" s="88">
        <f t="shared" ref="AO28:AQ28" si="15">AO12/AO11</f>
        <v>0.75615667256970753</v>
      </c>
      <c r="AP28" s="89">
        <f t="shared" si="15"/>
        <v>0.11036474811367715</v>
      </c>
      <c r="AQ28" s="101">
        <f t="shared" si="15"/>
        <v>0.35273205966315774</v>
      </c>
      <c r="AR28" s="71"/>
      <c r="AS28" s="91">
        <f>PRODUCT(AP$23:AP27)</f>
        <v>6.3289158613680535E-2</v>
      </c>
      <c r="AT28" s="92">
        <f>PRODUCT(AQ$23:AQ27)</f>
        <v>4.9814845242490746E-2</v>
      </c>
    </row>
    <row r="29" spans="1:46" x14ac:dyDescent="0.2">
      <c r="K29" s="63">
        <v>6</v>
      </c>
      <c r="L29" s="88"/>
      <c r="M29" s="88"/>
      <c r="N29" s="88"/>
      <c r="O29" s="88"/>
      <c r="P29" s="88"/>
      <c r="Q29" s="88">
        <f t="shared" si="7"/>
        <v>1</v>
      </c>
      <c r="R29" s="89">
        <f t="shared" si="7"/>
        <v>5.9599725652714146E-2</v>
      </c>
      <c r="S29" s="101">
        <f t="shared" si="7"/>
        <v>0.81619049295520041</v>
      </c>
      <c r="T29" s="71"/>
      <c r="U29" s="91">
        <f>PRODUCT(R$23:R28)</f>
        <v>6.984892048725413E-3</v>
      </c>
      <c r="V29" s="92">
        <f>PRODUCT(S$23:S28)</f>
        <v>1.7571292964185217E-2</v>
      </c>
      <c r="AI29" s="63">
        <v>6</v>
      </c>
      <c r="AJ29" s="88"/>
      <c r="AK29" s="88"/>
      <c r="AL29" s="88"/>
      <c r="AM29" s="88"/>
      <c r="AN29" s="88"/>
      <c r="AO29" s="88">
        <f t="shared" ref="AO29:AQ29" si="16">AO13/AO12</f>
        <v>1</v>
      </c>
      <c r="AP29" s="89">
        <f t="shared" si="16"/>
        <v>5.9599725652714146E-2</v>
      </c>
      <c r="AQ29" s="101">
        <f t="shared" si="16"/>
        <v>0.81619049295520041</v>
      </c>
      <c r="AR29" s="71"/>
      <c r="AS29" s="91">
        <f>PRODUCT(AP$23:AP28)</f>
        <v>6.984892048725413E-3</v>
      </c>
      <c r="AT29" s="92">
        <f>PRODUCT(AQ$23:AQ28)</f>
        <v>1.7571292964185217E-2</v>
      </c>
    </row>
    <row r="30" spans="1:46" x14ac:dyDescent="0.2">
      <c r="K30" s="63">
        <v>8</v>
      </c>
      <c r="L30" s="88"/>
      <c r="M30" s="88"/>
      <c r="N30" s="88"/>
      <c r="O30" s="88"/>
      <c r="P30" s="88"/>
      <c r="Q30" s="88">
        <f t="shared" si="7"/>
        <v>0.91738676440432454</v>
      </c>
      <c r="R30" s="89">
        <f t="shared" si="7"/>
        <v>1</v>
      </c>
      <c r="S30" s="101">
        <f t="shared" si="7"/>
        <v>0.91856588325875976</v>
      </c>
      <c r="T30" s="71"/>
      <c r="U30" s="91">
        <f>PRODUCT(R$23:R29)</f>
        <v>4.1629764981785907E-4</v>
      </c>
      <c r="V30" s="92">
        <f>PRODUCT(S$23:S29)</f>
        <v>1.4341522266298576E-2</v>
      </c>
      <c r="AI30" s="63">
        <v>8</v>
      </c>
      <c r="AJ30" s="88"/>
      <c r="AK30" s="88"/>
      <c r="AL30" s="88"/>
      <c r="AM30" s="88"/>
      <c r="AN30" s="88"/>
      <c r="AO30" s="88">
        <f t="shared" ref="AO30:AQ30" si="17">AO14/AO13</f>
        <v>0.91738676440432454</v>
      </c>
      <c r="AP30" s="89">
        <f t="shared" si="17"/>
        <v>1</v>
      </c>
      <c r="AQ30" s="101">
        <f t="shared" si="17"/>
        <v>0.91856588325875976</v>
      </c>
      <c r="AR30" s="71"/>
      <c r="AS30" s="91">
        <f>PRODUCT(AP$23:AP29)</f>
        <v>4.1629764981785907E-4</v>
      </c>
      <c r="AT30" s="92">
        <f>PRODUCT(AQ$23:AQ29)</f>
        <v>1.4341522266298576E-2</v>
      </c>
    </row>
    <row r="31" spans="1:46" x14ac:dyDescent="0.2">
      <c r="K31" s="63">
        <v>9</v>
      </c>
      <c r="L31" s="88"/>
      <c r="M31" s="88"/>
      <c r="N31" s="88"/>
      <c r="O31" s="88"/>
      <c r="P31" s="88"/>
      <c r="Q31" s="88">
        <f t="shared" si="7"/>
        <v>0</v>
      </c>
      <c r="R31" s="89">
        <f t="shared" si="7"/>
        <v>1</v>
      </c>
      <c r="S31" s="101">
        <f t="shared" si="7"/>
        <v>1.5538090295361741E-2</v>
      </c>
      <c r="T31" s="71"/>
      <c r="U31" s="91">
        <f>PRODUCT(R$23:R30)</f>
        <v>4.1629764981785907E-4</v>
      </c>
      <c r="V31" s="92">
        <f>PRODUCT(S$23:S30)</f>
        <v>1.3173633067817721E-2</v>
      </c>
      <c r="AI31" s="63">
        <v>9</v>
      </c>
      <c r="AJ31" s="88"/>
      <c r="AK31" s="88"/>
      <c r="AL31" s="88"/>
      <c r="AM31" s="88"/>
      <c r="AN31" s="88"/>
      <c r="AO31" s="88">
        <f t="shared" ref="AO31:AQ31" si="18">AO15/AO14</f>
        <v>0</v>
      </c>
      <c r="AP31" s="89">
        <f t="shared" si="18"/>
        <v>1</v>
      </c>
      <c r="AQ31" s="101">
        <f t="shared" si="18"/>
        <v>1.5538090295361741E-2</v>
      </c>
      <c r="AR31" s="71"/>
      <c r="AS31" s="91">
        <f>PRODUCT(AP$23:AP30)</f>
        <v>4.1629764981785907E-4</v>
      </c>
      <c r="AT31" s="92">
        <f>PRODUCT(AQ$23:AQ30)</f>
        <v>1.3173633067817721E-2</v>
      </c>
    </row>
    <row r="32" spans="1:46" x14ac:dyDescent="0.2">
      <c r="K32" s="63">
        <v>12</v>
      </c>
      <c r="L32" s="88"/>
      <c r="M32" s="88"/>
      <c r="N32" s="88"/>
      <c r="O32" s="88"/>
      <c r="P32" s="88"/>
      <c r="Q32" s="88"/>
      <c r="R32" s="89">
        <f>R16/R15</f>
        <v>0</v>
      </c>
      <c r="S32" s="101">
        <f>S16/S15</f>
        <v>0</v>
      </c>
      <c r="T32" s="71"/>
      <c r="U32" s="91">
        <f>PRODUCT(R$23:R31)</f>
        <v>4.1629764981785907E-4</v>
      </c>
      <c r="V32" s="92">
        <f>PRODUCT(S$23:S31)</f>
        <v>2.0469310012571505E-4</v>
      </c>
      <c r="AI32" s="63">
        <v>12</v>
      </c>
      <c r="AJ32" s="88"/>
      <c r="AK32" s="88"/>
      <c r="AL32" s="88"/>
      <c r="AM32" s="88"/>
      <c r="AN32" s="88"/>
      <c r="AO32" s="88"/>
      <c r="AP32" s="89">
        <f>AP16/AP15</f>
        <v>0</v>
      </c>
      <c r="AQ32" s="101">
        <f>AQ16/AQ15</f>
        <v>0</v>
      </c>
      <c r="AR32" s="71"/>
      <c r="AS32" s="91">
        <f>PRODUCT(AP$23:AP31)</f>
        <v>4.1629764981785907E-4</v>
      </c>
      <c r="AT32" s="92">
        <f>PRODUCT(AQ$23:AQ31)</f>
        <v>2.0469310012571505E-4</v>
      </c>
    </row>
    <row r="33" spans="11:46" x14ac:dyDescent="0.2">
      <c r="K33" s="63"/>
      <c r="L33" s="88"/>
      <c r="M33" s="88"/>
      <c r="N33" s="88"/>
      <c r="O33" s="88"/>
      <c r="P33" s="88"/>
      <c r="Q33" s="88"/>
      <c r="R33" s="89"/>
      <c r="T33" s="71"/>
      <c r="U33" s="91">
        <f>PRODUCT(R$23:R32)</f>
        <v>0</v>
      </c>
      <c r="V33" s="92">
        <f>PRODUCT(S$23:S32)</f>
        <v>0</v>
      </c>
      <c r="AI33" s="63"/>
      <c r="AJ33" s="88"/>
      <c r="AK33" s="88"/>
      <c r="AL33" s="88"/>
      <c r="AM33" s="88"/>
      <c r="AN33" s="88"/>
      <c r="AO33" s="88"/>
      <c r="AP33" s="89"/>
      <c r="AR33" s="71"/>
      <c r="AS33" s="91">
        <f>PRODUCT(AP$23:AP32)</f>
        <v>0</v>
      </c>
      <c r="AT33" s="92">
        <f>PRODUCT(AQ$23:AQ32)</f>
        <v>0</v>
      </c>
    </row>
    <row r="34" spans="11:46" x14ac:dyDescent="0.2">
      <c r="K34" s="71"/>
      <c r="L34" s="88"/>
      <c r="M34" s="88"/>
      <c r="N34" s="88"/>
      <c r="O34" s="88"/>
      <c r="P34" s="88"/>
      <c r="Q34" s="88"/>
      <c r="R34" s="89"/>
      <c r="T34" s="71"/>
      <c r="U34" s="91"/>
      <c r="V34" s="91">
        <f>SUM(V24:V33)</f>
        <v>1.605890659375268</v>
      </c>
      <c r="AI34" s="71"/>
      <c r="AJ34" s="88"/>
      <c r="AK34" s="88"/>
      <c r="AL34" s="88"/>
      <c r="AM34" s="88"/>
      <c r="AN34" s="88"/>
      <c r="AO34" s="88"/>
      <c r="AP34" s="89"/>
      <c r="AR34" s="71"/>
      <c r="AS34" s="91"/>
      <c r="AT34" s="91">
        <f>SUM(AT24:AT33)</f>
        <v>1.605890659375268</v>
      </c>
    </row>
    <row r="35" spans="11:46" x14ac:dyDescent="0.2">
      <c r="K35" s="71"/>
      <c r="L35" s="71"/>
      <c r="M35" s="71"/>
      <c r="N35" s="71"/>
      <c r="O35" s="71"/>
      <c r="P35" s="71"/>
      <c r="Q35" s="71"/>
      <c r="R35" s="71"/>
      <c r="T35" s="71"/>
      <c r="U35" s="91"/>
      <c r="V35" s="91"/>
      <c r="AI35" s="71"/>
      <c r="AJ35" s="71"/>
      <c r="AK35" s="71"/>
      <c r="AL35" s="71"/>
      <c r="AM35" s="71"/>
      <c r="AN35" s="71"/>
      <c r="AO35" s="71"/>
      <c r="AP35" s="71"/>
      <c r="AR35" s="71"/>
      <c r="AS35" s="91"/>
      <c r="AT35" s="91"/>
    </row>
    <row r="36" spans="11:46" ht="16" x14ac:dyDescent="0.2">
      <c r="K36" s="71"/>
      <c r="L36" s="71"/>
      <c r="M36" s="71"/>
      <c r="N36" s="71"/>
      <c r="O36" s="71"/>
      <c r="P36" s="71"/>
      <c r="Q36" s="71"/>
      <c r="R36" s="71"/>
      <c r="T36" s="71" t="s">
        <v>196</v>
      </c>
      <c r="U36" s="113">
        <f>SUM(U24:U33)</f>
        <v>1.3804762261062054</v>
      </c>
      <c r="V36" s="85">
        <f>SUM(V24:V33)</f>
        <v>1.605890659375268</v>
      </c>
      <c r="AI36" s="71"/>
      <c r="AJ36" s="71"/>
      <c r="AK36" s="71"/>
      <c r="AL36" s="71"/>
      <c r="AM36" s="71"/>
      <c r="AN36" s="71"/>
      <c r="AO36" s="71"/>
      <c r="AP36" s="71"/>
      <c r="AR36" s="71" t="s">
        <v>196</v>
      </c>
      <c r="AS36" s="102">
        <f>SUM(AS24:AS33)</f>
        <v>1.3804762261062054</v>
      </c>
      <c r="AT36" s="85">
        <f>SUM(AT24:AT33)</f>
        <v>1.605890659375268</v>
      </c>
    </row>
    <row r="42" spans="11:46" x14ac:dyDescent="0.2">
      <c r="L42" s="103"/>
      <c r="M42" s="103"/>
      <c r="N42" s="103"/>
      <c r="O42" s="103"/>
      <c r="P42" s="103"/>
      <c r="Q42" s="103"/>
      <c r="R42" s="103"/>
      <c r="AJ42" s="103"/>
      <c r="AK42" s="103"/>
      <c r="AL42" s="103"/>
      <c r="AM42" s="103"/>
      <c r="AN42" s="103"/>
      <c r="AO42" s="103"/>
      <c r="AP42" s="103"/>
    </row>
  </sheetData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FFFB78-68E5-2240-93F9-D8239AC0C763}">
  <dimension ref="A1:U91"/>
  <sheetViews>
    <sheetView workbookViewId="0">
      <selection activeCell="E63" sqref="A1:E63"/>
    </sheetView>
  </sheetViews>
  <sheetFormatPr baseColWidth="10" defaultRowHeight="16" x14ac:dyDescent="0.2"/>
  <sheetData>
    <row r="1" spans="1:21" x14ac:dyDescent="0.2">
      <c r="H1" t="s">
        <v>220</v>
      </c>
      <c r="O1" t="s">
        <v>220</v>
      </c>
    </row>
    <row r="2" spans="1:21" x14ac:dyDescent="0.2">
      <c r="A2" t="s">
        <v>220</v>
      </c>
      <c r="H2" t="s">
        <v>221</v>
      </c>
      <c r="I2" t="s">
        <v>222</v>
      </c>
      <c r="J2" t="s">
        <v>223</v>
      </c>
      <c r="O2" t="s">
        <v>221</v>
      </c>
      <c r="P2" t="s">
        <v>222</v>
      </c>
      <c r="Q2" t="s">
        <v>223</v>
      </c>
    </row>
    <row r="3" spans="1:21" x14ac:dyDescent="0.2">
      <c r="A3" t="s">
        <v>221</v>
      </c>
      <c r="B3" t="s">
        <v>222</v>
      </c>
      <c r="C3" t="s">
        <v>223</v>
      </c>
      <c r="H3" t="s">
        <v>220</v>
      </c>
      <c r="O3" t="s">
        <v>220</v>
      </c>
    </row>
    <row r="4" spans="1:21" x14ac:dyDescent="0.2">
      <c r="A4" t="s">
        <v>220</v>
      </c>
    </row>
    <row r="5" spans="1:21" x14ac:dyDescent="0.2">
      <c r="H5" t="s">
        <v>224</v>
      </c>
      <c r="I5" t="s">
        <v>225</v>
      </c>
      <c r="J5" t="s">
        <v>226</v>
      </c>
      <c r="K5" t="s">
        <v>224</v>
      </c>
      <c r="O5" t="s">
        <v>224</v>
      </c>
      <c r="P5" t="s">
        <v>225</v>
      </c>
      <c r="Q5" t="s">
        <v>226</v>
      </c>
      <c r="R5" t="s">
        <v>224</v>
      </c>
    </row>
    <row r="6" spans="1:21" x14ac:dyDescent="0.2">
      <c r="A6" t="s">
        <v>224</v>
      </c>
      <c r="B6" t="s">
        <v>225</v>
      </c>
      <c r="C6" t="s">
        <v>226</v>
      </c>
      <c r="D6" t="s">
        <v>224</v>
      </c>
      <c r="I6" t="s">
        <v>227</v>
      </c>
      <c r="J6" t="s">
        <v>228</v>
      </c>
      <c r="K6" t="s">
        <v>229</v>
      </c>
      <c r="L6" t="s">
        <v>230</v>
      </c>
      <c r="P6" t="s">
        <v>227</v>
      </c>
      <c r="Q6" t="s">
        <v>228</v>
      </c>
      <c r="R6" t="s">
        <v>229</v>
      </c>
      <c r="S6" t="s">
        <v>230</v>
      </c>
    </row>
    <row r="7" spans="1:21" x14ac:dyDescent="0.2">
      <c r="B7" t="s">
        <v>227</v>
      </c>
      <c r="C7" t="s">
        <v>228</v>
      </c>
      <c r="D7" t="s">
        <v>229</v>
      </c>
      <c r="E7" t="s">
        <v>230</v>
      </c>
      <c r="H7">
        <v>1</v>
      </c>
      <c r="I7" t="s">
        <v>8</v>
      </c>
      <c r="J7">
        <v>0.186</v>
      </c>
      <c r="K7">
        <v>0.186</v>
      </c>
      <c r="L7">
        <v>0.18579999999999999</v>
      </c>
      <c r="O7">
        <v>1</v>
      </c>
      <c r="P7" t="s">
        <v>8</v>
      </c>
      <c r="Q7">
        <v>0.186</v>
      </c>
      <c r="R7">
        <v>0.186</v>
      </c>
      <c r="S7">
        <v>0.18579999999999999</v>
      </c>
    </row>
    <row r="8" spans="1:21" x14ac:dyDescent="0.2">
      <c r="A8">
        <v>1</v>
      </c>
      <c r="B8" t="s">
        <v>8</v>
      </c>
      <c r="C8">
        <v>0.186</v>
      </c>
      <c r="D8">
        <v>0.186</v>
      </c>
      <c r="E8">
        <v>0.18579999999999999</v>
      </c>
      <c r="H8">
        <v>2</v>
      </c>
      <c r="I8" t="s">
        <v>231</v>
      </c>
      <c r="J8">
        <v>0.997</v>
      </c>
      <c r="K8">
        <v>0.997</v>
      </c>
      <c r="L8">
        <v>0.99680000000000002</v>
      </c>
      <c r="O8">
        <v>2</v>
      </c>
      <c r="P8" t="s">
        <v>257</v>
      </c>
      <c r="Q8">
        <v>1.244</v>
      </c>
      <c r="R8">
        <v>1.244</v>
      </c>
      <c r="S8">
        <v>1.2443</v>
      </c>
    </row>
    <row r="9" spans="1:21" x14ac:dyDescent="0.2">
      <c r="A9">
        <v>2</v>
      </c>
      <c r="B9" t="s">
        <v>9</v>
      </c>
      <c r="C9">
        <v>0.74299999999999999</v>
      </c>
      <c r="D9">
        <v>0.74299999999999999</v>
      </c>
      <c r="E9">
        <v>0.74270000000000003</v>
      </c>
      <c r="H9">
        <v>3</v>
      </c>
      <c r="I9" t="s">
        <v>232</v>
      </c>
      <c r="J9">
        <v>1.9330000000000001</v>
      </c>
      <c r="K9">
        <v>1.9330000000000001</v>
      </c>
      <c r="L9">
        <v>1.9327000000000001</v>
      </c>
      <c r="O9">
        <v>3</v>
      </c>
      <c r="P9" t="s">
        <v>254</v>
      </c>
      <c r="Q9">
        <v>2.339</v>
      </c>
      <c r="R9">
        <v>2.339</v>
      </c>
      <c r="S9">
        <v>2.3393999999999999</v>
      </c>
    </row>
    <row r="10" spans="1:21" x14ac:dyDescent="0.2">
      <c r="A10">
        <v>3</v>
      </c>
      <c r="B10" t="s">
        <v>10</v>
      </c>
      <c r="C10">
        <v>1.2709999999999999</v>
      </c>
      <c r="D10">
        <v>1.2709999999999999</v>
      </c>
      <c r="E10">
        <v>1.2707999999999999</v>
      </c>
      <c r="H10">
        <v>4</v>
      </c>
      <c r="I10" t="s">
        <v>194</v>
      </c>
      <c r="J10" s="128">
        <v>2.4950000000000001</v>
      </c>
      <c r="K10" s="128">
        <v>2.4950000000000001</v>
      </c>
      <c r="L10" s="128">
        <v>2.4952999999999999</v>
      </c>
    </row>
    <row r="11" spans="1:21" x14ac:dyDescent="0.2">
      <c r="A11">
        <v>4</v>
      </c>
      <c r="B11" t="s">
        <v>11</v>
      </c>
      <c r="C11">
        <v>1.8120000000000001</v>
      </c>
      <c r="D11">
        <v>1.8120000000000001</v>
      </c>
      <c r="E11">
        <v>1.8118000000000001</v>
      </c>
      <c r="O11" t="s">
        <v>224</v>
      </c>
      <c r="P11" t="s">
        <v>86</v>
      </c>
      <c r="Q11" t="s">
        <v>255</v>
      </c>
      <c r="R11" t="s">
        <v>235</v>
      </c>
      <c r="S11" t="s">
        <v>3</v>
      </c>
      <c r="T11" t="s">
        <v>236</v>
      </c>
      <c r="U11" t="s">
        <v>224</v>
      </c>
    </row>
    <row r="12" spans="1:21" x14ac:dyDescent="0.2">
      <c r="A12">
        <v>5</v>
      </c>
      <c r="B12" t="s">
        <v>12</v>
      </c>
      <c r="C12">
        <v>2.0569999999999999</v>
      </c>
      <c r="D12">
        <v>2.0569999999999999</v>
      </c>
      <c r="E12">
        <v>2.0567000000000002</v>
      </c>
      <c r="H12" t="s">
        <v>224</v>
      </c>
      <c r="I12" t="s">
        <v>86</v>
      </c>
      <c r="J12" t="s">
        <v>234</v>
      </c>
      <c r="K12" t="s">
        <v>235</v>
      </c>
      <c r="L12" t="s">
        <v>3</v>
      </c>
      <c r="M12" t="s">
        <v>236</v>
      </c>
      <c r="N12" t="s">
        <v>224</v>
      </c>
      <c r="P12" s="5" t="s">
        <v>237</v>
      </c>
      <c r="Q12" s="5" t="s">
        <v>233</v>
      </c>
      <c r="R12" s="5" t="s">
        <v>261</v>
      </c>
    </row>
    <row r="13" spans="1:21" x14ac:dyDescent="0.2">
      <c r="A13">
        <v>6</v>
      </c>
      <c r="B13" t="s">
        <v>13</v>
      </c>
      <c r="C13">
        <v>2.3820000000000001</v>
      </c>
      <c r="D13">
        <v>2.3820000000000001</v>
      </c>
      <c r="E13">
        <v>2.3820999999999999</v>
      </c>
      <c r="I13" s="5" t="s">
        <v>237</v>
      </c>
      <c r="J13" s="5" t="s">
        <v>241</v>
      </c>
      <c r="K13" s="5" t="s">
        <v>261</v>
      </c>
      <c r="O13">
        <v>1</v>
      </c>
      <c r="P13" s="120" t="s">
        <v>262</v>
      </c>
      <c r="Q13" s="121">
        <v>0.87853590000000004</v>
      </c>
      <c r="R13" s="121">
        <f>'PPR desejados'!Q13</f>
        <v>0.9313593</v>
      </c>
    </row>
    <row r="14" spans="1:21" x14ac:dyDescent="0.2">
      <c r="A14">
        <v>7</v>
      </c>
      <c r="B14" t="s">
        <v>14</v>
      </c>
      <c r="C14">
        <v>2.6269999999999998</v>
      </c>
      <c r="D14">
        <v>2.6269999999999998</v>
      </c>
      <c r="E14">
        <v>2.6273</v>
      </c>
      <c r="H14">
        <v>1</v>
      </c>
      <c r="I14" s="120" t="s">
        <v>262</v>
      </c>
      <c r="J14" s="121">
        <v>0.8863531</v>
      </c>
      <c r="K14" s="121">
        <f>'PPR desejados'!J14</f>
        <v>0.93207150000000005</v>
      </c>
      <c r="O14">
        <v>2</v>
      </c>
      <c r="P14" s="120" t="s">
        <v>263</v>
      </c>
      <c r="Q14" s="121">
        <v>0.78766080000000005</v>
      </c>
      <c r="R14" s="121">
        <f>'PPR desejados'!Q14</f>
        <v>0.85275710000000005</v>
      </c>
    </row>
    <row r="15" spans="1:21" x14ac:dyDescent="0.2">
      <c r="H15">
        <v>2</v>
      </c>
      <c r="I15" s="120" t="s">
        <v>263</v>
      </c>
      <c r="J15" s="121">
        <v>0.81401869999999998</v>
      </c>
      <c r="K15" s="121">
        <f>'PPR desejados'!J15</f>
        <v>0.85715909999999995</v>
      </c>
      <c r="O15">
        <v>3</v>
      </c>
      <c r="P15" s="120" t="s">
        <v>264</v>
      </c>
      <c r="Q15" s="121">
        <v>0.53037330000000005</v>
      </c>
      <c r="R15" s="121">
        <f>'PPR desejados'!Q15</f>
        <v>0.421292</v>
      </c>
    </row>
    <row r="16" spans="1:21" x14ac:dyDescent="0.2">
      <c r="A16" t="s">
        <v>224</v>
      </c>
      <c r="B16" s="8" t="s">
        <v>86</v>
      </c>
      <c r="C16" s="8" t="s">
        <v>256</v>
      </c>
      <c r="D16" s="8" t="s">
        <v>235</v>
      </c>
      <c r="E16" t="s">
        <v>3</v>
      </c>
      <c r="F16" t="s">
        <v>236</v>
      </c>
      <c r="G16" t="s">
        <v>224</v>
      </c>
      <c r="H16">
        <v>3</v>
      </c>
      <c r="I16" s="120" t="s">
        <v>264</v>
      </c>
      <c r="J16" s="121">
        <v>0.55651240000000002</v>
      </c>
      <c r="K16" s="121">
        <f>'PPR desejados'!J16</f>
        <v>0.44656820000000003</v>
      </c>
      <c r="O16">
        <v>4</v>
      </c>
      <c r="P16" s="120" t="s">
        <v>265</v>
      </c>
      <c r="Q16" s="121">
        <v>0.48530479999999998</v>
      </c>
      <c r="R16" s="121">
        <f>'PPR desejados'!Q16</f>
        <v>0.4443761</v>
      </c>
    </row>
    <row r="17" spans="1:21" x14ac:dyDescent="0.2">
      <c r="B17" s="5" t="s">
        <v>237</v>
      </c>
      <c r="C17" s="5" t="s">
        <v>258</v>
      </c>
      <c r="D17" s="5" t="s">
        <v>261</v>
      </c>
      <c r="H17">
        <v>4</v>
      </c>
      <c r="I17" s="120" t="s">
        <v>265</v>
      </c>
      <c r="J17" s="121">
        <v>0.5045849</v>
      </c>
      <c r="K17" s="121">
        <f>'PPR desejados'!J17</f>
        <v>0.47935810000000001</v>
      </c>
    </row>
    <row r="18" spans="1:21" x14ac:dyDescent="0.2">
      <c r="A18">
        <v>1</v>
      </c>
      <c r="B18" s="120" t="s">
        <v>262</v>
      </c>
      <c r="C18" s="121">
        <v>0.86557030000000001</v>
      </c>
      <c r="D18" s="121">
        <f>'PPR desejados'!C17</f>
        <v>0.92065249999999998</v>
      </c>
      <c r="O18" t="s">
        <v>220</v>
      </c>
    </row>
    <row r="19" spans="1:21" x14ac:dyDescent="0.2">
      <c r="A19">
        <v>2</v>
      </c>
      <c r="B19" s="120" t="s">
        <v>263</v>
      </c>
      <c r="C19" s="121">
        <v>0.83510479999999998</v>
      </c>
      <c r="D19" s="121">
        <f>'PPR desejados'!C18</f>
        <v>0.85147689999999998</v>
      </c>
      <c r="H19" t="s">
        <v>220</v>
      </c>
      <c r="O19" t="s">
        <v>221</v>
      </c>
      <c r="P19" t="s">
        <v>222</v>
      </c>
      <c r="Q19" t="s">
        <v>238</v>
      </c>
    </row>
    <row r="20" spans="1:21" x14ac:dyDescent="0.2">
      <c r="A20">
        <v>3</v>
      </c>
      <c r="B20" s="120" t="s">
        <v>264</v>
      </c>
      <c r="C20" s="121">
        <v>0.60155550000000002</v>
      </c>
      <c r="D20" s="121">
        <f>'PPR desejados'!C19</f>
        <v>0.46114870000000002</v>
      </c>
      <c r="H20" t="s">
        <v>221</v>
      </c>
      <c r="I20" t="s">
        <v>222</v>
      </c>
      <c r="J20" t="s">
        <v>238</v>
      </c>
      <c r="O20" t="s">
        <v>220</v>
      </c>
    </row>
    <row r="21" spans="1:21" x14ac:dyDescent="0.2">
      <c r="A21">
        <v>4</v>
      </c>
      <c r="B21" s="120" t="s">
        <v>265</v>
      </c>
      <c r="C21" s="121">
        <v>0.55748569999999997</v>
      </c>
      <c r="D21" s="121">
        <f>'PPR desejados'!C20</f>
        <v>0.51503690000000002</v>
      </c>
      <c r="H21" t="s">
        <v>220</v>
      </c>
    </row>
    <row r="22" spans="1:21" x14ac:dyDescent="0.2">
      <c r="O22" t="s">
        <v>224</v>
      </c>
      <c r="P22" t="s">
        <v>225</v>
      </c>
      <c r="Q22" t="s">
        <v>226</v>
      </c>
      <c r="R22" t="s">
        <v>224</v>
      </c>
    </row>
    <row r="23" spans="1:21" x14ac:dyDescent="0.2">
      <c r="A23" t="s">
        <v>220</v>
      </c>
      <c r="H23" t="s">
        <v>224</v>
      </c>
      <c r="I23" t="s">
        <v>225</v>
      </c>
      <c r="J23" t="s">
        <v>226</v>
      </c>
      <c r="K23" t="s">
        <v>224</v>
      </c>
      <c r="P23" t="s">
        <v>227</v>
      </c>
      <c r="Q23" t="s">
        <v>228</v>
      </c>
      <c r="R23" t="s">
        <v>229</v>
      </c>
      <c r="S23" t="s">
        <v>230</v>
      </c>
    </row>
    <row r="24" spans="1:21" x14ac:dyDescent="0.2">
      <c r="A24" t="s">
        <v>221</v>
      </c>
      <c r="B24" t="s">
        <v>222</v>
      </c>
      <c r="C24" t="s">
        <v>238</v>
      </c>
      <c r="I24" t="s">
        <v>227</v>
      </c>
      <c r="J24" t="s">
        <v>228</v>
      </c>
      <c r="K24" t="s">
        <v>229</v>
      </c>
      <c r="L24" t="s">
        <v>230</v>
      </c>
      <c r="O24">
        <v>1</v>
      </c>
      <c r="P24" t="s">
        <v>8</v>
      </c>
      <c r="Q24">
        <v>1</v>
      </c>
      <c r="R24">
        <v>1</v>
      </c>
      <c r="S24">
        <v>1</v>
      </c>
    </row>
    <row r="25" spans="1:21" x14ac:dyDescent="0.2">
      <c r="A25" t="s">
        <v>220</v>
      </c>
      <c r="H25">
        <v>1</v>
      </c>
      <c r="I25" t="s">
        <v>8</v>
      </c>
      <c r="J25">
        <v>1</v>
      </c>
      <c r="K25">
        <v>1</v>
      </c>
      <c r="L25">
        <v>1</v>
      </c>
      <c r="O25">
        <v>2</v>
      </c>
      <c r="P25" t="s">
        <v>257</v>
      </c>
      <c r="Q25">
        <v>0.96099999999999997</v>
      </c>
      <c r="R25">
        <v>0.96099999999999997</v>
      </c>
      <c r="S25">
        <v>0.96150000000000002</v>
      </c>
    </row>
    <row r="26" spans="1:21" x14ac:dyDescent="0.2">
      <c r="H26">
        <v>2</v>
      </c>
      <c r="I26" t="s">
        <v>231</v>
      </c>
      <c r="J26">
        <v>0.86299999999999999</v>
      </c>
      <c r="K26">
        <v>0.86299999999999999</v>
      </c>
      <c r="L26">
        <v>0.86339999999999995</v>
      </c>
      <c r="O26">
        <v>3</v>
      </c>
      <c r="P26" t="s">
        <v>254</v>
      </c>
      <c r="Q26">
        <v>1.5249999999999999</v>
      </c>
      <c r="R26">
        <v>1.5149999999999999</v>
      </c>
      <c r="S26">
        <v>1.5146999999999999</v>
      </c>
    </row>
    <row r="27" spans="1:21" x14ac:dyDescent="0.2">
      <c r="A27" t="s">
        <v>224</v>
      </c>
      <c r="B27" t="s">
        <v>225</v>
      </c>
      <c r="C27" t="s">
        <v>226</v>
      </c>
      <c r="D27" t="s">
        <v>224</v>
      </c>
      <c r="H27">
        <v>3</v>
      </c>
      <c r="I27" t="s">
        <v>232</v>
      </c>
      <c r="J27">
        <v>1.1719999999999999</v>
      </c>
      <c r="K27">
        <v>1.1719999999999999</v>
      </c>
      <c r="L27">
        <v>1.1718</v>
      </c>
    </row>
    <row r="28" spans="1:21" x14ac:dyDescent="0.2">
      <c r="B28" t="s">
        <v>227</v>
      </c>
      <c r="C28" t="s">
        <v>228</v>
      </c>
      <c r="D28" t="s">
        <v>229</v>
      </c>
      <c r="E28" t="s">
        <v>230</v>
      </c>
      <c r="H28">
        <v>4</v>
      </c>
      <c r="I28" t="s">
        <v>194</v>
      </c>
      <c r="J28" s="128">
        <v>1.621</v>
      </c>
      <c r="K28" s="128">
        <v>1.6060000000000001</v>
      </c>
      <c r="L28" s="128">
        <v>1.6059000000000001</v>
      </c>
      <c r="O28" t="s">
        <v>224</v>
      </c>
      <c r="P28" t="s">
        <v>266</v>
      </c>
      <c r="Q28" t="s">
        <v>255</v>
      </c>
      <c r="R28" t="s">
        <v>235</v>
      </c>
      <c r="S28" t="s">
        <v>3</v>
      </c>
      <c r="T28" t="s">
        <v>236</v>
      </c>
      <c r="U28" t="s">
        <v>224</v>
      </c>
    </row>
    <row r="29" spans="1:21" x14ac:dyDescent="0.2">
      <c r="A29">
        <v>1</v>
      </c>
      <c r="B29" t="s">
        <v>8</v>
      </c>
      <c r="C29">
        <v>1</v>
      </c>
      <c r="D29">
        <v>1</v>
      </c>
      <c r="E29">
        <v>1</v>
      </c>
      <c r="L29" s="128"/>
      <c r="P29" s="5" t="s">
        <v>237</v>
      </c>
      <c r="Q29" s="5" t="s">
        <v>233</v>
      </c>
      <c r="R29" s="5" t="s">
        <v>261</v>
      </c>
    </row>
    <row r="30" spans="1:21" x14ac:dyDescent="0.2">
      <c r="A30">
        <v>2</v>
      </c>
      <c r="B30" t="s">
        <v>9</v>
      </c>
      <c r="C30">
        <v>0.48499999999999999</v>
      </c>
      <c r="D30">
        <v>0.48499999999999999</v>
      </c>
      <c r="E30">
        <v>0.48509999999999998</v>
      </c>
      <c r="H30" t="s">
        <v>224</v>
      </c>
      <c r="I30" t="s">
        <v>266</v>
      </c>
      <c r="J30" t="s">
        <v>234</v>
      </c>
      <c r="K30" t="s">
        <v>235</v>
      </c>
      <c r="L30" t="s">
        <v>3</v>
      </c>
      <c r="M30" t="s">
        <v>236</v>
      </c>
      <c r="N30" t="s">
        <v>224</v>
      </c>
      <c r="O30">
        <v>1</v>
      </c>
      <c r="P30" s="120" t="s">
        <v>262</v>
      </c>
      <c r="Q30" s="121">
        <v>0.71776260000000003</v>
      </c>
      <c r="R30" s="121">
        <f>'PPR desejados'!Q30</f>
        <v>0.91541609999999995</v>
      </c>
    </row>
    <row r="31" spans="1:21" x14ac:dyDescent="0.2">
      <c r="A31">
        <v>3</v>
      </c>
      <c r="B31" t="s">
        <v>10</v>
      </c>
      <c r="C31">
        <v>1.0840000000000001</v>
      </c>
      <c r="D31">
        <v>1.0840000000000001</v>
      </c>
      <c r="E31">
        <v>1.0835999999999999</v>
      </c>
      <c r="I31" s="5" t="s">
        <v>237</v>
      </c>
      <c r="J31" s="5" t="s">
        <v>240</v>
      </c>
      <c r="K31" s="5" t="s">
        <v>261</v>
      </c>
      <c r="O31">
        <v>2</v>
      </c>
      <c r="P31" s="120" t="s">
        <v>263</v>
      </c>
      <c r="Q31" s="121">
        <v>0.68629269999999998</v>
      </c>
      <c r="R31" s="121">
        <f>'PPR desejados'!Q31</f>
        <v>0.83104290000000003</v>
      </c>
    </row>
    <row r="32" spans="1:21" x14ac:dyDescent="0.2">
      <c r="A32">
        <v>4</v>
      </c>
      <c r="B32" t="s">
        <v>11</v>
      </c>
      <c r="C32">
        <v>1.0640000000000001</v>
      </c>
      <c r="D32">
        <v>1.0640000000000001</v>
      </c>
      <c r="E32">
        <v>1.0645</v>
      </c>
      <c r="H32">
        <v>1</v>
      </c>
      <c r="I32" s="120" t="s">
        <v>262</v>
      </c>
      <c r="J32" s="121">
        <v>0.72433630000000004</v>
      </c>
      <c r="K32" s="121">
        <f>'PPR desejados'!J32</f>
        <v>0.92383990000000005</v>
      </c>
      <c r="O32">
        <v>3</v>
      </c>
      <c r="P32" s="120" t="s">
        <v>264</v>
      </c>
      <c r="Q32" s="121">
        <v>0.36064950000000001</v>
      </c>
      <c r="R32" s="121">
        <f>'PPR desejados'!Q32</f>
        <v>0.36779070000000003</v>
      </c>
    </row>
    <row r="33" spans="1:21" x14ac:dyDescent="0.2">
      <c r="A33">
        <v>5</v>
      </c>
      <c r="B33" t="s">
        <v>12</v>
      </c>
      <c r="C33">
        <v>1.26</v>
      </c>
      <c r="D33">
        <v>1.26</v>
      </c>
      <c r="E33">
        <v>1.2595000000000001</v>
      </c>
      <c r="H33">
        <v>2</v>
      </c>
      <c r="I33" s="120" t="s">
        <v>263</v>
      </c>
      <c r="J33" s="121">
        <v>0.73951630000000002</v>
      </c>
      <c r="K33" s="121">
        <f>'PPR desejados'!J33</f>
        <v>0.85689219999999999</v>
      </c>
      <c r="O33">
        <v>4</v>
      </c>
      <c r="P33" s="120" t="s">
        <v>265</v>
      </c>
      <c r="Q33" s="121">
        <v>0.31793979999999999</v>
      </c>
      <c r="R33" s="121">
        <f>'PPR desejados'!Q33</f>
        <v>0.37775199999999998</v>
      </c>
    </row>
    <row r="34" spans="1:21" x14ac:dyDescent="0.2">
      <c r="A34">
        <v>6</v>
      </c>
      <c r="B34" t="s">
        <v>13</v>
      </c>
      <c r="C34">
        <v>1.8520000000000001</v>
      </c>
      <c r="D34">
        <v>1.8240000000000001</v>
      </c>
      <c r="E34">
        <v>1.8239000000000001</v>
      </c>
      <c r="H34">
        <v>3</v>
      </c>
      <c r="I34" s="120" t="s">
        <v>264</v>
      </c>
      <c r="J34" s="121">
        <v>0.34823850000000001</v>
      </c>
      <c r="K34" s="121">
        <f>'PPR desejados'!J34</f>
        <v>0.3585101</v>
      </c>
    </row>
    <row r="35" spans="1:21" x14ac:dyDescent="0.2">
      <c r="A35">
        <v>7</v>
      </c>
      <c r="B35" t="s">
        <v>14</v>
      </c>
      <c r="C35">
        <v>1.3819999999999999</v>
      </c>
      <c r="D35">
        <v>1.38</v>
      </c>
      <c r="E35">
        <v>1.3804000000000001</v>
      </c>
      <c r="H35">
        <v>4</v>
      </c>
      <c r="I35" s="120" t="s">
        <v>265</v>
      </c>
      <c r="J35" s="121">
        <v>0.34445199999999998</v>
      </c>
      <c r="K35" s="121">
        <f>'PPR desejados'!J35</f>
        <v>0.45503510000000003</v>
      </c>
      <c r="O35" t="s">
        <v>220</v>
      </c>
    </row>
    <row r="36" spans="1:21" x14ac:dyDescent="0.2">
      <c r="O36" t="s">
        <v>221</v>
      </c>
      <c r="P36" t="s">
        <v>222</v>
      </c>
      <c r="Q36" t="s">
        <v>239</v>
      </c>
    </row>
    <row r="37" spans="1:21" x14ac:dyDescent="0.2">
      <c r="A37" t="s">
        <v>224</v>
      </c>
      <c r="B37" t="s">
        <v>266</v>
      </c>
      <c r="C37" t="s">
        <v>256</v>
      </c>
      <c r="D37" t="s">
        <v>235</v>
      </c>
      <c r="E37" t="s">
        <v>3</v>
      </c>
      <c r="F37" t="s">
        <v>236</v>
      </c>
      <c r="G37" t="s">
        <v>224</v>
      </c>
      <c r="H37" t="s">
        <v>220</v>
      </c>
      <c r="O37" t="s">
        <v>220</v>
      </c>
    </row>
    <row r="38" spans="1:21" x14ac:dyDescent="0.2">
      <c r="B38" s="5" t="s">
        <v>237</v>
      </c>
      <c r="C38" s="5" t="s">
        <v>233</v>
      </c>
      <c r="D38" s="5" t="s">
        <v>261</v>
      </c>
      <c r="H38" t="s">
        <v>221</v>
      </c>
      <c r="I38" t="s">
        <v>222</v>
      </c>
      <c r="J38" t="s">
        <v>239</v>
      </c>
    </row>
    <row r="39" spans="1:21" x14ac:dyDescent="0.2">
      <c r="A39">
        <v>1</v>
      </c>
      <c r="B39" s="120" t="s">
        <v>262</v>
      </c>
      <c r="C39" s="121">
        <v>0.65221010000000001</v>
      </c>
      <c r="D39" s="121">
        <f>'PPR desejados'!C38</f>
        <v>0.89841159999999998</v>
      </c>
      <c r="H39" t="s">
        <v>220</v>
      </c>
      <c r="O39" t="s">
        <v>224</v>
      </c>
      <c r="P39" t="s">
        <v>225</v>
      </c>
      <c r="Q39" t="s">
        <v>226</v>
      </c>
      <c r="R39" t="s">
        <v>224</v>
      </c>
    </row>
    <row r="40" spans="1:21" x14ac:dyDescent="0.2">
      <c r="A40">
        <v>2</v>
      </c>
      <c r="B40" s="120" t="s">
        <v>263</v>
      </c>
      <c r="C40" s="121">
        <v>0.60905889999999996</v>
      </c>
      <c r="D40" s="121">
        <f>'PPR desejados'!C39</f>
        <v>0.81388170000000004</v>
      </c>
      <c r="P40" t="s">
        <v>227</v>
      </c>
      <c r="Q40" t="s">
        <v>228</v>
      </c>
      <c r="R40" t="s">
        <v>229</v>
      </c>
      <c r="S40" t="s">
        <v>230</v>
      </c>
    </row>
    <row r="41" spans="1:21" x14ac:dyDescent="0.2">
      <c r="A41">
        <v>3</v>
      </c>
      <c r="B41" s="120" t="s">
        <v>264</v>
      </c>
      <c r="C41" s="121">
        <v>0.44544850000000002</v>
      </c>
      <c r="D41" s="121">
        <f>'PPR desejados'!C40</f>
        <v>0.33330779999999999</v>
      </c>
      <c r="H41" t="s">
        <v>224</v>
      </c>
      <c r="I41" t="s">
        <v>225</v>
      </c>
      <c r="J41" t="s">
        <v>226</v>
      </c>
      <c r="K41" t="s">
        <v>224</v>
      </c>
      <c r="O41">
        <v>1</v>
      </c>
      <c r="P41" t="s">
        <v>8</v>
      </c>
      <c r="Q41">
        <v>0.129</v>
      </c>
      <c r="R41">
        <v>0.129</v>
      </c>
      <c r="S41">
        <v>0.12859999999999999</v>
      </c>
    </row>
    <row r="42" spans="1:21" x14ac:dyDescent="0.2">
      <c r="A42">
        <v>4</v>
      </c>
      <c r="B42" s="120" t="s">
        <v>265</v>
      </c>
      <c r="C42" s="121">
        <v>0.46658660000000002</v>
      </c>
      <c r="D42" s="121">
        <f>'PPR desejados'!C41</f>
        <v>0.38963370000000003</v>
      </c>
      <c r="I42" t="s">
        <v>227</v>
      </c>
      <c r="J42" t="s">
        <v>228</v>
      </c>
      <c r="K42" t="s">
        <v>229</v>
      </c>
      <c r="L42" t="s">
        <v>230</v>
      </c>
      <c r="O42">
        <v>2</v>
      </c>
      <c r="P42" t="s">
        <v>257</v>
      </c>
      <c r="Q42">
        <v>0.871</v>
      </c>
      <c r="R42">
        <v>0.871</v>
      </c>
      <c r="S42">
        <v>0.87150000000000005</v>
      </c>
    </row>
    <row r="43" spans="1:21" x14ac:dyDescent="0.2">
      <c r="H43">
        <v>1</v>
      </c>
      <c r="I43" t="s">
        <v>8</v>
      </c>
      <c r="J43">
        <v>0.129</v>
      </c>
      <c r="K43">
        <v>0.129</v>
      </c>
      <c r="L43">
        <v>0.12859999999999999</v>
      </c>
      <c r="O43">
        <v>3</v>
      </c>
      <c r="P43" t="s">
        <v>254</v>
      </c>
      <c r="Q43">
        <v>1.845</v>
      </c>
      <c r="R43">
        <v>1.845</v>
      </c>
      <c r="S43">
        <v>1.845</v>
      </c>
    </row>
    <row r="44" spans="1:21" x14ac:dyDescent="0.2">
      <c r="A44" t="s">
        <v>220</v>
      </c>
      <c r="H44">
        <v>2</v>
      </c>
      <c r="I44" t="s">
        <v>231</v>
      </c>
      <c r="J44">
        <v>0.68</v>
      </c>
      <c r="K44">
        <v>0.68</v>
      </c>
      <c r="L44">
        <v>0.67959999999999998</v>
      </c>
    </row>
    <row r="45" spans="1:21" x14ac:dyDescent="0.2">
      <c r="A45" t="s">
        <v>221</v>
      </c>
      <c r="B45" t="s">
        <v>222</v>
      </c>
      <c r="C45" t="s">
        <v>239</v>
      </c>
      <c r="H45">
        <v>3</v>
      </c>
      <c r="I45" t="s">
        <v>232</v>
      </c>
      <c r="J45">
        <v>1.4770000000000001</v>
      </c>
      <c r="K45">
        <v>1.4770000000000001</v>
      </c>
      <c r="L45">
        <v>1.4764999999999999</v>
      </c>
      <c r="O45" t="s">
        <v>224</v>
      </c>
      <c r="P45" t="s">
        <v>267</v>
      </c>
      <c r="Q45" t="s">
        <v>255</v>
      </c>
      <c r="R45" t="s">
        <v>235</v>
      </c>
      <c r="S45" t="s">
        <v>3</v>
      </c>
      <c r="T45" t="s">
        <v>236</v>
      </c>
      <c r="U45" t="s">
        <v>224</v>
      </c>
    </row>
    <row r="46" spans="1:21" x14ac:dyDescent="0.2">
      <c r="A46" t="s">
        <v>220</v>
      </c>
      <c r="H46">
        <v>4</v>
      </c>
      <c r="I46" t="s">
        <v>194</v>
      </c>
      <c r="J46" s="128">
        <v>1.986</v>
      </c>
      <c r="K46" s="128">
        <v>1.986</v>
      </c>
      <c r="L46" s="128">
        <v>1.986</v>
      </c>
      <c r="P46" s="5" t="s">
        <v>237</v>
      </c>
      <c r="Q46" s="5" t="s">
        <v>233</v>
      </c>
      <c r="R46" s="5" t="s">
        <v>261</v>
      </c>
    </row>
    <row r="47" spans="1:21" x14ac:dyDescent="0.2">
      <c r="O47">
        <v>1</v>
      </c>
      <c r="P47" s="120" t="s">
        <v>262</v>
      </c>
      <c r="Q47" s="121">
        <v>0.83114650000000001</v>
      </c>
      <c r="R47" s="121">
        <f>'PPR desejados'!Q47</f>
        <v>0.92202039999999996</v>
      </c>
    </row>
    <row r="48" spans="1:21" x14ac:dyDescent="0.2">
      <c r="A48" t="s">
        <v>224</v>
      </c>
      <c r="B48" t="s">
        <v>225</v>
      </c>
      <c r="C48" t="s">
        <v>226</v>
      </c>
      <c r="D48" t="s">
        <v>224</v>
      </c>
      <c r="H48" t="s">
        <v>224</v>
      </c>
      <c r="I48" t="s">
        <v>267</v>
      </c>
      <c r="J48" t="s">
        <v>234</v>
      </c>
      <c r="K48" t="s">
        <v>235</v>
      </c>
      <c r="L48" t="s">
        <v>3</v>
      </c>
      <c r="M48" t="s">
        <v>236</v>
      </c>
      <c r="N48" t="s">
        <v>224</v>
      </c>
      <c r="O48">
        <v>2</v>
      </c>
      <c r="P48" s="120" t="s">
        <v>263</v>
      </c>
      <c r="Q48" s="121">
        <v>0.72834670000000001</v>
      </c>
      <c r="R48" s="121">
        <f>'PPR desejados'!Q48</f>
        <v>0.84959890000000005</v>
      </c>
    </row>
    <row r="49" spans="1:21" x14ac:dyDescent="0.2">
      <c r="B49" t="s">
        <v>227</v>
      </c>
      <c r="C49" t="s">
        <v>228</v>
      </c>
      <c r="D49" t="s">
        <v>229</v>
      </c>
      <c r="E49" t="s">
        <v>230</v>
      </c>
      <c r="I49" s="5" t="s">
        <v>237</v>
      </c>
      <c r="J49" s="5" t="s">
        <v>242</v>
      </c>
      <c r="K49" s="5" t="s">
        <v>261</v>
      </c>
      <c r="O49">
        <v>3</v>
      </c>
      <c r="P49" s="120" t="s">
        <v>264</v>
      </c>
      <c r="Q49" s="121">
        <v>0.42310239999999999</v>
      </c>
      <c r="R49" s="121">
        <f>'PPR desejados'!Q49</f>
        <v>0.34400819999999999</v>
      </c>
    </row>
    <row r="50" spans="1:21" x14ac:dyDescent="0.2">
      <c r="A50">
        <v>1</v>
      </c>
      <c r="B50" t="s">
        <v>8</v>
      </c>
      <c r="C50">
        <v>0.129</v>
      </c>
      <c r="D50">
        <v>0.129</v>
      </c>
      <c r="E50">
        <v>0.12859999999999999</v>
      </c>
      <c r="H50">
        <v>1</v>
      </c>
      <c r="I50" s="120" t="s">
        <v>262</v>
      </c>
      <c r="J50" s="121">
        <v>0.86516029999999999</v>
      </c>
      <c r="K50" s="121">
        <f>'PPR desejados'!J50</f>
        <v>0.91090970000000004</v>
      </c>
      <c r="O50">
        <v>4</v>
      </c>
      <c r="P50" s="120" t="s">
        <v>265</v>
      </c>
      <c r="Q50" s="121">
        <v>0.36639650000000001</v>
      </c>
      <c r="R50" s="121">
        <f>'PPR desejados'!Q50</f>
        <v>0.420074</v>
      </c>
    </row>
    <row r="51" spans="1:21" x14ac:dyDescent="0.2">
      <c r="A51">
        <v>2</v>
      </c>
      <c r="B51" t="s">
        <v>9</v>
      </c>
      <c r="C51">
        <v>0.432</v>
      </c>
      <c r="D51">
        <v>0.432</v>
      </c>
      <c r="E51">
        <v>0.43190000000000001</v>
      </c>
      <c r="H51">
        <v>2</v>
      </c>
      <c r="I51" s="120" t="s">
        <v>263</v>
      </c>
      <c r="J51" s="121">
        <v>0.74758829999999998</v>
      </c>
      <c r="K51" s="121">
        <f>'PPR desejados'!J51</f>
        <v>0.84941049999999996</v>
      </c>
    </row>
    <row r="52" spans="1:21" x14ac:dyDescent="0.2">
      <c r="A52">
        <v>3</v>
      </c>
      <c r="B52" t="s">
        <v>10</v>
      </c>
      <c r="C52">
        <v>0.90400000000000003</v>
      </c>
      <c r="D52">
        <v>0.90400000000000003</v>
      </c>
      <c r="E52">
        <v>0.90380000000000005</v>
      </c>
      <c r="H52">
        <v>3</v>
      </c>
      <c r="I52" s="120" t="s">
        <v>264</v>
      </c>
      <c r="J52" s="121">
        <v>0.46022000000000002</v>
      </c>
      <c r="K52" s="121">
        <f>'PPR desejados'!J52</f>
        <v>0.3920651</v>
      </c>
      <c r="O52" t="s">
        <v>220</v>
      </c>
    </row>
    <row r="53" spans="1:21" x14ac:dyDescent="0.2">
      <c r="A53">
        <v>4</v>
      </c>
      <c r="B53" t="s">
        <v>11</v>
      </c>
      <c r="C53">
        <v>1.335</v>
      </c>
      <c r="D53">
        <v>1.335</v>
      </c>
      <c r="E53">
        <v>1.3351999999999999</v>
      </c>
      <c r="H53">
        <v>4</v>
      </c>
      <c r="I53" s="120" t="s">
        <v>265</v>
      </c>
      <c r="J53" s="121">
        <v>0.37233650000000001</v>
      </c>
      <c r="K53" s="121">
        <f>'PPR desejados'!J53</f>
        <v>0.43648110000000001</v>
      </c>
      <c r="O53" t="s">
        <v>221</v>
      </c>
      <c r="P53" t="s">
        <v>222</v>
      </c>
      <c r="Q53" t="s">
        <v>168</v>
      </c>
    </row>
    <row r="54" spans="1:21" x14ac:dyDescent="0.2">
      <c r="A54">
        <v>5</v>
      </c>
      <c r="B54" t="s">
        <v>12</v>
      </c>
      <c r="C54">
        <v>1.617</v>
      </c>
      <c r="D54">
        <v>1.617</v>
      </c>
      <c r="E54">
        <v>1.617</v>
      </c>
      <c r="O54" t="s">
        <v>220</v>
      </c>
    </row>
    <row r="55" spans="1:21" x14ac:dyDescent="0.2">
      <c r="A55">
        <v>6</v>
      </c>
      <c r="B55" t="s">
        <v>13</v>
      </c>
      <c r="C55">
        <v>1.8560000000000001</v>
      </c>
      <c r="D55">
        <v>1.8560000000000001</v>
      </c>
      <c r="E55">
        <v>1.8560000000000001</v>
      </c>
      <c r="H55" t="s">
        <v>220</v>
      </c>
    </row>
    <row r="56" spans="1:21" x14ac:dyDescent="0.2">
      <c r="A56">
        <v>7</v>
      </c>
      <c r="B56" t="s">
        <v>14</v>
      </c>
      <c r="C56">
        <v>2.1469999999999998</v>
      </c>
      <c r="D56">
        <v>2.1469999999999998</v>
      </c>
      <c r="E56">
        <v>2.1469999999999998</v>
      </c>
      <c r="H56" t="s">
        <v>221</v>
      </c>
      <c r="I56" t="s">
        <v>222</v>
      </c>
      <c r="J56" t="s">
        <v>168</v>
      </c>
      <c r="O56" t="s">
        <v>224</v>
      </c>
      <c r="P56" t="s">
        <v>225</v>
      </c>
      <c r="Q56" t="s">
        <v>226</v>
      </c>
      <c r="R56" t="s">
        <v>224</v>
      </c>
    </row>
    <row r="57" spans="1:21" x14ac:dyDescent="0.2">
      <c r="H57" t="s">
        <v>220</v>
      </c>
      <c r="P57" t="s">
        <v>227</v>
      </c>
      <c r="Q57" t="s">
        <v>228</v>
      </c>
      <c r="R57" t="s">
        <v>229</v>
      </c>
      <c r="S57" t="s">
        <v>230</v>
      </c>
    </row>
    <row r="58" spans="1:21" x14ac:dyDescent="0.2">
      <c r="A58" t="s">
        <v>224</v>
      </c>
      <c r="B58" t="s">
        <v>267</v>
      </c>
      <c r="C58" t="s">
        <v>256</v>
      </c>
      <c r="D58" t="s">
        <v>235</v>
      </c>
      <c r="E58" t="s">
        <v>3</v>
      </c>
      <c r="F58" t="s">
        <v>236</v>
      </c>
      <c r="G58" t="s">
        <v>224</v>
      </c>
      <c r="O58">
        <v>1</v>
      </c>
      <c r="P58" t="s">
        <v>8</v>
      </c>
      <c r="Q58">
        <v>0.13500000000000001</v>
      </c>
      <c r="R58">
        <v>0.13500000000000001</v>
      </c>
      <c r="S58">
        <v>0.13500000000000001</v>
      </c>
    </row>
    <row r="59" spans="1:21" x14ac:dyDescent="0.2">
      <c r="B59" s="5" t="s">
        <v>237</v>
      </c>
      <c r="C59" s="5" t="s">
        <v>233</v>
      </c>
      <c r="D59" s="5" t="s">
        <v>261</v>
      </c>
      <c r="H59" t="s">
        <v>224</v>
      </c>
      <c r="I59" t="s">
        <v>225</v>
      </c>
      <c r="J59" t="s">
        <v>226</v>
      </c>
      <c r="K59" t="s">
        <v>224</v>
      </c>
      <c r="O59">
        <v>2</v>
      </c>
      <c r="P59" t="s">
        <v>257</v>
      </c>
      <c r="Q59">
        <v>1.325</v>
      </c>
      <c r="R59">
        <v>1.325</v>
      </c>
      <c r="S59">
        <v>1.3250999999999999</v>
      </c>
    </row>
    <row r="60" spans="1:21" x14ac:dyDescent="0.2">
      <c r="A60">
        <v>1</v>
      </c>
      <c r="B60" s="120" t="s">
        <v>262</v>
      </c>
      <c r="C60" s="121">
        <v>0.85078220000000004</v>
      </c>
      <c r="D60" s="121">
        <f>'PPR desejados'!C59</f>
        <v>0.8794727</v>
      </c>
      <c r="I60" t="s">
        <v>227</v>
      </c>
      <c r="J60" t="s">
        <v>228</v>
      </c>
      <c r="K60" t="s">
        <v>229</v>
      </c>
      <c r="L60" t="s">
        <v>230</v>
      </c>
      <c r="O60">
        <v>3</v>
      </c>
      <c r="P60" t="s">
        <v>254</v>
      </c>
      <c r="Q60">
        <v>2.4910000000000001</v>
      </c>
      <c r="R60">
        <v>2.4900000000000002</v>
      </c>
      <c r="S60">
        <v>2.4899</v>
      </c>
    </row>
    <row r="61" spans="1:21" x14ac:dyDescent="0.2">
      <c r="A61">
        <v>2</v>
      </c>
      <c r="B61" s="120" t="s">
        <v>263</v>
      </c>
      <c r="C61" s="121">
        <v>0.82461470000000003</v>
      </c>
      <c r="D61" s="121">
        <f>'PPR desejados'!C60</f>
        <v>0.87145249999999996</v>
      </c>
      <c r="H61">
        <v>1</v>
      </c>
      <c r="I61" t="s">
        <v>8</v>
      </c>
      <c r="J61">
        <v>0.13500000000000001</v>
      </c>
      <c r="K61">
        <v>0.13500000000000001</v>
      </c>
      <c r="L61">
        <v>0.13500000000000001</v>
      </c>
    </row>
    <row r="62" spans="1:21" x14ac:dyDescent="0.2">
      <c r="A62">
        <v>3</v>
      </c>
      <c r="B62" s="120" t="s">
        <v>264</v>
      </c>
      <c r="C62" s="121">
        <v>0.50185329999999995</v>
      </c>
      <c r="D62" s="121">
        <f>'PPR desejados'!C61</f>
        <v>0.34506550000000002</v>
      </c>
      <c r="H62">
        <v>2</v>
      </c>
      <c r="I62" t="s">
        <v>231</v>
      </c>
      <c r="J62">
        <v>1.044</v>
      </c>
      <c r="K62">
        <v>1.044</v>
      </c>
      <c r="L62">
        <v>1.0437000000000001</v>
      </c>
      <c r="O62" t="s">
        <v>224</v>
      </c>
      <c r="P62" t="s">
        <v>268</v>
      </c>
      <c r="Q62" t="s">
        <v>255</v>
      </c>
      <c r="R62" t="s">
        <v>235</v>
      </c>
      <c r="S62" t="s">
        <v>3</v>
      </c>
      <c r="T62" t="s">
        <v>236</v>
      </c>
      <c r="U62" t="s">
        <v>224</v>
      </c>
    </row>
    <row r="63" spans="1:21" x14ac:dyDescent="0.2">
      <c r="A63">
        <v>4</v>
      </c>
      <c r="B63" s="120" t="s">
        <v>265</v>
      </c>
      <c r="C63" s="121">
        <v>0.417298</v>
      </c>
      <c r="D63" s="121">
        <f>'PPR desejados'!C62</f>
        <v>0.42740600000000001</v>
      </c>
      <c r="H63">
        <v>3</v>
      </c>
      <c r="I63" t="s">
        <v>232</v>
      </c>
      <c r="J63">
        <v>2.0720000000000001</v>
      </c>
      <c r="K63">
        <v>2.0720000000000001</v>
      </c>
      <c r="L63">
        <v>2.0720000000000001</v>
      </c>
      <c r="P63" s="5" t="s">
        <v>237</v>
      </c>
      <c r="Q63" s="5" t="s">
        <v>233</v>
      </c>
      <c r="R63" s="5" t="s">
        <v>261</v>
      </c>
    </row>
    <row r="64" spans="1:21" x14ac:dyDescent="0.2">
      <c r="H64">
        <v>4</v>
      </c>
      <c r="I64" t="s">
        <v>194</v>
      </c>
      <c r="J64" s="128">
        <v>2.6619999999999999</v>
      </c>
      <c r="K64" s="128">
        <v>2.66</v>
      </c>
      <c r="L64" s="128">
        <v>2.6604000000000001</v>
      </c>
      <c r="O64">
        <v>1</v>
      </c>
      <c r="P64" s="120" t="s">
        <v>262</v>
      </c>
      <c r="Q64" s="121">
        <v>0.89474220000000004</v>
      </c>
      <c r="R64" s="121">
        <f>'PPR desejados'!Q64</f>
        <v>0.9278961</v>
      </c>
    </row>
    <row r="65" spans="1:18" x14ac:dyDescent="0.2">
      <c r="A65" t="s">
        <v>220</v>
      </c>
      <c r="O65">
        <v>2</v>
      </c>
      <c r="P65" s="120" t="s">
        <v>263</v>
      </c>
      <c r="Q65" s="121">
        <v>0.81228869999999997</v>
      </c>
      <c r="R65" s="121">
        <f>'PPR desejados'!Q65</f>
        <v>0.86140629999999996</v>
      </c>
    </row>
    <row r="66" spans="1:18" x14ac:dyDescent="0.2">
      <c r="A66" t="s">
        <v>221</v>
      </c>
      <c r="B66" t="s">
        <v>222</v>
      </c>
      <c r="C66" t="s">
        <v>168</v>
      </c>
      <c r="H66" t="s">
        <v>224</v>
      </c>
      <c r="I66" t="s">
        <v>268</v>
      </c>
      <c r="J66" t="s">
        <v>234</v>
      </c>
      <c r="K66" t="s">
        <v>235</v>
      </c>
      <c r="L66" t="s">
        <v>3</v>
      </c>
      <c r="M66" t="s">
        <v>236</v>
      </c>
      <c r="N66" t="s">
        <v>224</v>
      </c>
      <c r="O66">
        <v>3</v>
      </c>
      <c r="P66" s="120" t="s">
        <v>264</v>
      </c>
      <c r="Q66" s="121">
        <v>0.56369139999999995</v>
      </c>
      <c r="R66" s="121">
        <f>'PPR desejados'!Q66</f>
        <v>0.44109890000000002</v>
      </c>
    </row>
    <row r="67" spans="1:18" x14ac:dyDescent="0.2">
      <c r="A67" t="s">
        <v>220</v>
      </c>
      <c r="I67" s="5" t="s">
        <v>237</v>
      </c>
      <c r="J67" s="5" t="s">
        <v>243</v>
      </c>
      <c r="K67" s="5" t="s">
        <v>261</v>
      </c>
      <c r="O67">
        <v>4</v>
      </c>
      <c r="P67" s="120" t="s">
        <v>265</v>
      </c>
      <c r="Q67" s="121">
        <v>0.48917939999999999</v>
      </c>
      <c r="R67" s="121">
        <f>'PPR desejados'!Q67</f>
        <v>0.436025</v>
      </c>
    </row>
    <row r="68" spans="1:18" x14ac:dyDescent="0.2">
      <c r="H68">
        <v>1</v>
      </c>
      <c r="I68" s="120" t="s">
        <v>262</v>
      </c>
      <c r="J68" s="121">
        <v>0.88956579999999996</v>
      </c>
      <c r="K68" s="121">
        <f>'PPR desejados'!J68</f>
        <v>0.93253079999999999</v>
      </c>
    </row>
    <row r="69" spans="1:18" x14ac:dyDescent="0.2">
      <c r="A69" t="s">
        <v>224</v>
      </c>
      <c r="B69" t="s">
        <v>225</v>
      </c>
      <c r="C69" t="s">
        <v>226</v>
      </c>
      <c r="D69" t="s">
        <v>224</v>
      </c>
      <c r="H69">
        <v>2</v>
      </c>
      <c r="I69" s="120" t="s">
        <v>263</v>
      </c>
      <c r="J69" s="121">
        <v>0.84172449999999999</v>
      </c>
      <c r="K69" s="121">
        <f>'PPR desejados'!J69</f>
        <v>0.86261049999999995</v>
      </c>
    </row>
    <row r="70" spans="1:18" x14ac:dyDescent="0.2">
      <c r="B70" t="s">
        <v>227</v>
      </c>
      <c r="C70" t="s">
        <v>228</v>
      </c>
      <c r="D70" t="s">
        <v>229</v>
      </c>
      <c r="E70" t="s">
        <v>230</v>
      </c>
      <c r="H70">
        <v>3</v>
      </c>
      <c r="I70" s="120" t="s">
        <v>264</v>
      </c>
      <c r="J70" s="121">
        <v>0.60905180000000003</v>
      </c>
      <c r="K70" s="121">
        <f>'PPR desejados'!J70</f>
        <v>0.47560249999999998</v>
      </c>
    </row>
    <row r="71" spans="1:18" x14ac:dyDescent="0.2">
      <c r="A71">
        <v>1</v>
      </c>
      <c r="B71" t="s">
        <v>8</v>
      </c>
      <c r="C71">
        <v>0.13500000000000001</v>
      </c>
      <c r="D71">
        <v>0.13500000000000001</v>
      </c>
      <c r="E71">
        <v>0.13500000000000001</v>
      </c>
      <c r="H71">
        <v>4</v>
      </c>
      <c r="I71" s="120" t="s">
        <v>265</v>
      </c>
      <c r="J71" s="121">
        <v>0.51045859999999998</v>
      </c>
      <c r="K71" s="121">
        <f>'PPR desejados'!J71</f>
        <v>0.48326010000000003</v>
      </c>
    </row>
    <row r="72" spans="1:18" x14ac:dyDescent="0.2">
      <c r="A72">
        <v>2</v>
      </c>
      <c r="B72" t="s">
        <v>9</v>
      </c>
      <c r="C72">
        <v>0.76600000000000001</v>
      </c>
      <c r="D72">
        <v>0.76600000000000001</v>
      </c>
      <c r="E72">
        <v>0.76600000000000001</v>
      </c>
    </row>
    <row r="73" spans="1:18" x14ac:dyDescent="0.2">
      <c r="A73">
        <v>3</v>
      </c>
      <c r="B73" t="s">
        <v>10</v>
      </c>
      <c r="C73">
        <v>1.337</v>
      </c>
      <c r="D73">
        <v>1.337</v>
      </c>
      <c r="E73">
        <v>1.3364</v>
      </c>
    </row>
    <row r="74" spans="1:18" x14ac:dyDescent="0.2">
      <c r="A74">
        <v>4</v>
      </c>
      <c r="B74" t="s">
        <v>11</v>
      </c>
      <c r="C74">
        <v>1.9430000000000001</v>
      </c>
      <c r="D74">
        <v>1.9430000000000001</v>
      </c>
      <c r="E74">
        <v>1.9436</v>
      </c>
    </row>
    <row r="75" spans="1:18" x14ac:dyDescent="0.2">
      <c r="A75">
        <v>5</v>
      </c>
      <c r="B75" t="s">
        <v>12</v>
      </c>
      <c r="C75">
        <v>2.2010000000000001</v>
      </c>
      <c r="D75">
        <v>2.2010000000000001</v>
      </c>
      <c r="E75">
        <v>2.2008999999999999</v>
      </c>
    </row>
    <row r="76" spans="1:18" x14ac:dyDescent="0.2">
      <c r="A76">
        <v>6</v>
      </c>
      <c r="B76" t="s">
        <v>13</v>
      </c>
      <c r="C76">
        <v>2.5219999999999998</v>
      </c>
      <c r="D76">
        <v>2.5219999999999998</v>
      </c>
      <c r="E76">
        <v>2.5217000000000001</v>
      </c>
    </row>
    <row r="77" spans="1:18" x14ac:dyDescent="0.2">
      <c r="A77">
        <v>7</v>
      </c>
      <c r="B77" t="s">
        <v>14</v>
      </c>
      <c r="C77">
        <v>2.8359999999999999</v>
      </c>
      <c r="D77">
        <v>2.8330000000000002</v>
      </c>
      <c r="E77">
        <v>2.8330000000000002</v>
      </c>
    </row>
    <row r="79" spans="1:18" x14ac:dyDescent="0.2">
      <c r="A79" t="s">
        <v>224</v>
      </c>
      <c r="B79" t="s">
        <v>268</v>
      </c>
      <c r="C79" t="s">
        <v>256</v>
      </c>
      <c r="D79" t="s">
        <v>235</v>
      </c>
      <c r="E79" t="s">
        <v>3</v>
      </c>
      <c r="F79" t="s">
        <v>236</v>
      </c>
      <c r="G79" t="s">
        <v>224</v>
      </c>
    </row>
    <row r="80" spans="1:18" x14ac:dyDescent="0.2">
      <c r="B80" s="5" t="s">
        <v>237</v>
      </c>
      <c r="C80" s="5" t="s">
        <v>258</v>
      </c>
      <c r="D80" s="5" t="s">
        <v>261</v>
      </c>
    </row>
    <row r="81" spans="1:4" x14ac:dyDescent="0.2">
      <c r="A81">
        <v>1</v>
      </c>
      <c r="B81" s="120" t="s">
        <v>262</v>
      </c>
      <c r="C81" s="121">
        <v>0.86958049999999998</v>
      </c>
      <c r="D81" s="121">
        <f>'PPR desejados'!C80</f>
        <v>0.92720979999999997</v>
      </c>
    </row>
    <row r="82" spans="1:4" x14ac:dyDescent="0.2">
      <c r="A82">
        <v>2</v>
      </c>
      <c r="B82" s="120" t="s">
        <v>263</v>
      </c>
      <c r="C82" s="121">
        <v>0.82812330000000001</v>
      </c>
      <c r="D82" s="121">
        <f>'PPR desejados'!C81</f>
        <v>0.85927100000000001</v>
      </c>
    </row>
    <row r="83" spans="1:4" x14ac:dyDescent="0.2">
      <c r="A83">
        <v>3</v>
      </c>
      <c r="B83" s="120" t="s">
        <v>264</v>
      </c>
      <c r="C83" s="121">
        <v>0.67159950000000002</v>
      </c>
      <c r="D83" s="121">
        <f>'PPR desejados'!C82</f>
        <v>0.52526360000000005</v>
      </c>
    </row>
    <row r="84" spans="1:4" x14ac:dyDescent="0.2">
      <c r="A84">
        <v>4</v>
      </c>
      <c r="B84" s="120" t="s">
        <v>265</v>
      </c>
      <c r="C84" s="121">
        <v>0.59821550000000001</v>
      </c>
      <c r="D84" s="121">
        <f>'PPR desejados'!C83</f>
        <v>0.52968590000000004</v>
      </c>
    </row>
    <row r="87" spans="1:4" x14ac:dyDescent="0.2">
      <c r="B87" s="8"/>
      <c r="C87" s="8"/>
      <c r="D87" s="8"/>
    </row>
    <row r="88" spans="1:4" x14ac:dyDescent="0.2">
      <c r="B88" s="8"/>
      <c r="C88" s="118"/>
      <c r="D88" s="118"/>
    </row>
    <row r="89" spans="1:4" x14ac:dyDescent="0.2">
      <c r="B89" s="8"/>
      <c r="C89" s="118"/>
      <c r="D89" s="118"/>
    </row>
    <row r="90" spans="1:4" x14ac:dyDescent="0.2">
      <c r="B90" s="8"/>
      <c r="C90" s="118"/>
      <c r="D90" s="118"/>
    </row>
    <row r="91" spans="1:4" x14ac:dyDescent="0.2">
      <c r="B91" s="8"/>
      <c r="C91" s="118"/>
      <c r="D91" s="118"/>
    </row>
  </sheetData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CA6CA3-CB87-EC43-9902-BBEEEE05BB15}">
  <dimension ref="A1:U83"/>
  <sheetViews>
    <sheetView workbookViewId="0">
      <selection activeCell="J64" sqref="J64:L64"/>
    </sheetView>
  </sheetViews>
  <sheetFormatPr baseColWidth="10" defaultRowHeight="16" x14ac:dyDescent="0.2"/>
  <sheetData>
    <row r="1" spans="1:21" x14ac:dyDescent="0.2">
      <c r="A1" t="s">
        <v>220</v>
      </c>
      <c r="H1" t="s">
        <v>220</v>
      </c>
      <c r="O1" t="s">
        <v>220</v>
      </c>
    </row>
    <row r="2" spans="1:21" x14ac:dyDescent="0.2">
      <c r="A2" t="s">
        <v>221</v>
      </c>
      <c r="B2" t="s">
        <v>222</v>
      </c>
      <c r="C2" t="s">
        <v>223</v>
      </c>
      <c r="H2" t="s">
        <v>221</v>
      </c>
      <c r="I2" t="s">
        <v>222</v>
      </c>
      <c r="J2" t="s">
        <v>223</v>
      </c>
      <c r="O2" t="s">
        <v>221</v>
      </c>
      <c r="P2" t="s">
        <v>222</v>
      </c>
      <c r="Q2" t="s">
        <v>223</v>
      </c>
    </row>
    <row r="3" spans="1:21" x14ac:dyDescent="0.2">
      <c r="A3" t="s">
        <v>220</v>
      </c>
      <c r="H3" t="s">
        <v>220</v>
      </c>
      <c r="O3" t="s">
        <v>220</v>
      </c>
    </row>
    <row r="5" spans="1:21" x14ac:dyDescent="0.2">
      <c r="A5" t="s">
        <v>224</v>
      </c>
      <c r="B5" t="s">
        <v>225</v>
      </c>
      <c r="C5" t="s">
        <v>226</v>
      </c>
      <c r="D5" t="s">
        <v>224</v>
      </c>
      <c r="H5" t="s">
        <v>224</v>
      </c>
      <c r="I5" t="s">
        <v>225</v>
      </c>
      <c r="J5" t="s">
        <v>226</v>
      </c>
      <c r="K5" t="s">
        <v>224</v>
      </c>
      <c r="O5" t="s">
        <v>224</v>
      </c>
      <c r="P5" t="s">
        <v>225</v>
      </c>
      <c r="Q5" t="s">
        <v>226</v>
      </c>
      <c r="R5" t="s">
        <v>224</v>
      </c>
    </row>
    <row r="6" spans="1:21" x14ac:dyDescent="0.2">
      <c r="B6" t="s">
        <v>227</v>
      </c>
      <c r="C6" t="s">
        <v>228</v>
      </c>
      <c r="D6" t="s">
        <v>229</v>
      </c>
      <c r="E6" t="s">
        <v>230</v>
      </c>
      <c r="I6" t="s">
        <v>227</v>
      </c>
      <c r="J6" t="s">
        <v>228</v>
      </c>
      <c r="K6" t="s">
        <v>229</v>
      </c>
      <c r="L6" t="s">
        <v>230</v>
      </c>
      <c r="P6" t="s">
        <v>227</v>
      </c>
      <c r="Q6" t="s">
        <v>228</v>
      </c>
      <c r="R6" t="s">
        <v>229</v>
      </c>
      <c r="S6" t="s">
        <v>230</v>
      </c>
    </row>
    <row r="7" spans="1:21" x14ac:dyDescent="0.2">
      <c r="A7">
        <v>1</v>
      </c>
      <c r="B7" t="s">
        <v>8</v>
      </c>
      <c r="C7">
        <v>1.8680000000000001</v>
      </c>
      <c r="D7">
        <v>1.8680000000000001</v>
      </c>
      <c r="E7">
        <v>1.8685</v>
      </c>
      <c r="H7">
        <v>1</v>
      </c>
      <c r="I7" t="s">
        <v>8</v>
      </c>
      <c r="J7">
        <v>1.8680000000000001</v>
      </c>
      <c r="K7">
        <v>1.8680000000000001</v>
      </c>
      <c r="L7">
        <v>1.8685</v>
      </c>
      <c r="O7">
        <v>1</v>
      </c>
      <c r="P7" t="s">
        <v>8</v>
      </c>
      <c r="Q7">
        <v>1.8680000000000001</v>
      </c>
      <c r="R7">
        <v>1.8680000000000001</v>
      </c>
      <c r="S7">
        <v>1.8685</v>
      </c>
    </row>
    <row r="8" spans="1:21" x14ac:dyDescent="0.2">
      <c r="A8">
        <v>2</v>
      </c>
      <c r="B8" t="s">
        <v>9</v>
      </c>
      <c r="C8">
        <v>1.867</v>
      </c>
      <c r="D8">
        <v>1.867</v>
      </c>
      <c r="E8">
        <v>1.8666</v>
      </c>
      <c r="H8">
        <v>2</v>
      </c>
      <c r="I8" t="s">
        <v>231</v>
      </c>
      <c r="J8">
        <v>1.8919999999999999</v>
      </c>
      <c r="K8">
        <v>1.8919999999999999</v>
      </c>
      <c r="L8">
        <v>1.8923000000000001</v>
      </c>
      <c r="O8">
        <v>2</v>
      </c>
      <c r="P8" t="s">
        <v>257</v>
      </c>
      <c r="Q8">
        <v>1.9510000000000001</v>
      </c>
      <c r="R8">
        <v>1.9510000000000001</v>
      </c>
      <c r="S8">
        <v>1.9514</v>
      </c>
    </row>
    <row r="9" spans="1:21" x14ac:dyDescent="0.2">
      <c r="A9">
        <v>3</v>
      </c>
      <c r="B9" t="s">
        <v>10</v>
      </c>
      <c r="C9">
        <v>1.92</v>
      </c>
      <c r="D9">
        <v>1.92</v>
      </c>
      <c r="E9">
        <v>1.9201999999999999</v>
      </c>
      <c r="H9">
        <v>3</v>
      </c>
      <c r="I9" t="s">
        <v>232</v>
      </c>
      <c r="J9">
        <v>2.1440000000000001</v>
      </c>
      <c r="K9">
        <v>2.1440000000000001</v>
      </c>
      <c r="L9">
        <v>2.1442000000000001</v>
      </c>
      <c r="O9">
        <v>3</v>
      </c>
      <c r="P9" t="s">
        <v>254</v>
      </c>
      <c r="Q9">
        <v>2.3719999999999999</v>
      </c>
      <c r="R9">
        <v>2.371</v>
      </c>
      <c r="S9">
        <v>2.3714</v>
      </c>
    </row>
    <row r="10" spans="1:21" x14ac:dyDescent="0.2">
      <c r="A10">
        <v>4</v>
      </c>
      <c r="B10" t="s">
        <v>11</v>
      </c>
      <c r="C10">
        <v>2.0859999999999999</v>
      </c>
      <c r="D10">
        <v>2.0859999999999999</v>
      </c>
      <c r="E10">
        <v>2.0861000000000001</v>
      </c>
      <c r="H10">
        <v>4</v>
      </c>
      <c r="I10" t="s">
        <v>194</v>
      </c>
      <c r="J10" s="128">
        <v>2.4660000000000002</v>
      </c>
      <c r="K10" s="128">
        <v>2.4649999999999999</v>
      </c>
      <c r="L10" s="128">
        <v>2.4653</v>
      </c>
    </row>
    <row r="11" spans="1:21" x14ac:dyDescent="0.2">
      <c r="A11">
        <v>5</v>
      </c>
      <c r="B11" t="s">
        <v>12</v>
      </c>
      <c r="C11">
        <v>2.2040000000000002</v>
      </c>
      <c r="D11">
        <v>2.2040000000000002</v>
      </c>
      <c r="E11">
        <v>2.2038000000000002</v>
      </c>
      <c r="O11" t="s">
        <v>224</v>
      </c>
      <c r="P11" t="s">
        <v>233</v>
      </c>
      <c r="Q11" t="s">
        <v>255</v>
      </c>
      <c r="R11" t="s">
        <v>235</v>
      </c>
      <c r="S11" t="s">
        <v>3</v>
      </c>
      <c r="T11" t="s">
        <v>236</v>
      </c>
      <c r="U11" t="s">
        <v>224</v>
      </c>
    </row>
    <row r="12" spans="1:21" x14ac:dyDescent="0.2">
      <c r="A12">
        <v>6</v>
      </c>
      <c r="B12" t="s">
        <v>13</v>
      </c>
      <c r="C12">
        <v>2.423</v>
      </c>
      <c r="D12">
        <v>2.4220000000000002</v>
      </c>
      <c r="E12">
        <v>2.4222999999999999</v>
      </c>
      <c r="H12" t="s">
        <v>224</v>
      </c>
      <c r="I12" t="s">
        <v>233</v>
      </c>
      <c r="J12" t="s">
        <v>234</v>
      </c>
      <c r="K12" t="s">
        <v>235</v>
      </c>
      <c r="L12" t="s">
        <v>3</v>
      </c>
      <c r="M12" t="s">
        <v>236</v>
      </c>
      <c r="N12" t="s">
        <v>224</v>
      </c>
      <c r="P12" t="s">
        <v>237</v>
      </c>
      <c r="Q12" t="s">
        <v>233</v>
      </c>
    </row>
    <row r="13" spans="1:21" x14ac:dyDescent="0.2">
      <c r="A13">
        <v>7</v>
      </c>
      <c r="B13" t="s">
        <v>14</v>
      </c>
      <c r="C13">
        <v>2.5169999999999999</v>
      </c>
      <c r="D13">
        <v>2.5150000000000001</v>
      </c>
      <c r="E13">
        <v>2.5150000000000001</v>
      </c>
      <c r="I13" t="s">
        <v>237</v>
      </c>
      <c r="J13" t="s">
        <v>233</v>
      </c>
      <c r="O13">
        <v>1</v>
      </c>
      <c r="P13">
        <v>1</v>
      </c>
      <c r="Q13">
        <v>0.9313593</v>
      </c>
    </row>
    <row r="14" spans="1:21" x14ac:dyDescent="0.2">
      <c r="H14">
        <v>1</v>
      </c>
      <c r="I14">
        <v>1</v>
      </c>
      <c r="J14">
        <v>0.93207150000000005</v>
      </c>
      <c r="O14">
        <v>2</v>
      </c>
      <c r="P14">
        <v>2</v>
      </c>
      <c r="Q14">
        <v>0.85275710000000005</v>
      </c>
    </row>
    <row r="15" spans="1:21" x14ac:dyDescent="0.2">
      <c r="A15" t="s">
        <v>224</v>
      </c>
      <c r="B15" t="s">
        <v>233</v>
      </c>
      <c r="C15" t="s">
        <v>256</v>
      </c>
      <c r="D15" t="s">
        <v>235</v>
      </c>
      <c r="E15" t="s">
        <v>3</v>
      </c>
      <c r="F15" t="s">
        <v>236</v>
      </c>
      <c r="G15" t="s">
        <v>224</v>
      </c>
      <c r="H15">
        <v>2</v>
      </c>
      <c r="I15">
        <v>2</v>
      </c>
      <c r="J15">
        <v>0.85715909999999995</v>
      </c>
      <c r="O15">
        <v>3</v>
      </c>
      <c r="P15">
        <v>3</v>
      </c>
      <c r="Q15">
        <v>0.421292</v>
      </c>
    </row>
    <row r="16" spans="1:21" x14ac:dyDescent="0.2">
      <c r="B16" t="s">
        <v>237</v>
      </c>
      <c r="C16" t="s">
        <v>241</v>
      </c>
      <c r="H16">
        <v>3</v>
      </c>
      <c r="I16">
        <v>3</v>
      </c>
      <c r="J16">
        <v>0.44656820000000003</v>
      </c>
      <c r="O16">
        <v>4</v>
      </c>
      <c r="P16">
        <v>4</v>
      </c>
      <c r="Q16">
        <v>0.4443761</v>
      </c>
    </row>
    <row r="17" spans="1:21" x14ac:dyDescent="0.2">
      <c r="A17">
        <v>1</v>
      </c>
      <c r="B17">
        <v>1</v>
      </c>
      <c r="C17">
        <v>0.92065249999999998</v>
      </c>
      <c r="H17">
        <v>4</v>
      </c>
      <c r="I17">
        <v>4</v>
      </c>
      <c r="J17">
        <v>0.47935810000000001</v>
      </c>
    </row>
    <row r="18" spans="1:21" x14ac:dyDescent="0.2">
      <c r="A18">
        <v>2</v>
      </c>
      <c r="B18">
        <v>2</v>
      </c>
      <c r="C18">
        <v>0.85147689999999998</v>
      </c>
      <c r="O18" t="s">
        <v>220</v>
      </c>
    </row>
    <row r="19" spans="1:21" x14ac:dyDescent="0.2">
      <c r="A19">
        <v>3</v>
      </c>
      <c r="B19">
        <v>3</v>
      </c>
      <c r="C19">
        <v>0.46114870000000002</v>
      </c>
      <c r="H19" t="s">
        <v>220</v>
      </c>
      <c r="O19" t="s">
        <v>221</v>
      </c>
      <c r="P19" t="s">
        <v>222</v>
      </c>
      <c r="Q19" t="s">
        <v>238</v>
      </c>
    </row>
    <row r="20" spans="1:21" x14ac:dyDescent="0.2">
      <c r="A20">
        <v>4</v>
      </c>
      <c r="B20">
        <v>4</v>
      </c>
      <c r="C20">
        <v>0.51503690000000002</v>
      </c>
      <c r="H20" t="s">
        <v>221</v>
      </c>
      <c r="I20" t="s">
        <v>222</v>
      </c>
      <c r="J20" t="s">
        <v>238</v>
      </c>
      <c r="O20" t="s">
        <v>220</v>
      </c>
    </row>
    <row r="21" spans="1:21" x14ac:dyDescent="0.2">
      <c r="H21" t="s">
        <v>220</v>
      </c>
    </row>
    <row r="22" spans="1:21" x14ac:dyDescent="0.2">
      <c r="A22" t="s">
        <v>220</v>
      </c>
      <c r="O22" t="s">
        <v>224</v>
      </c>
      <c r="P22" t="s">
        <v>225</v>
      </c>
      <c r="Q22" t="s">
        <v>226</v>
      </c>
      <c r="R22" t="s">
        <v>224</v>
      </c>
    </row>
    <row r="23" spans="1:21" x14ac:dyDescent="0.2">
      <c r="A23" t="s">
        <v>221</v>
      </c>
      <c r="B23" t="s">
        <v>222</v>
      </c>
      <c r="C23" t="s">
        <v>238</v>
      </c>
      <c r="H23" t="s">
        <v>224</v>
      </c>
      <c r="I23" t="s">
        <v>225</v>
      </c>
      <c r="J23" t="s">
        <v>226</v>
      </c>
      <c r="K23" t="s">
        <v>224</v>
      </c>
      <c r="P23" t="s">
        <v>227</v>
      </c>
      <c r="Q23" t="s">
        <v>228</v>
      </c>
      <c r="R23" t="s">
        <v>229</v>
      </c>
      <c r="S23" t="s">
        <v>230</v>
      </c>
    </row>
    <row r="24" spans="1:21" x14ac:dyDescent="0.2">
      <c r="A24" t="s">
        <v>220</v>
      </c>
      <c r="I24" t="s">
        <v>227</v>
      </c>
      <c r="J24" t="s">
        <v>228</v>
      </c>
      <c r="K24" t="s">
        <v>229</v>
      </c>
      <c r="L24" t="s">
        <v>230</v>
      </c>
      <c r="O24">
        <v>1</v>
      </c>
      <c r="P24" t="s">
        <v>8</v>
      </c>
      <c r="Q24">
        <v>2</v>
      </c>
      <c r="R24">
        <v>2</v>
      </c>
      <c r="S24">
        <v>2</v>
      </c>
    </row>
    <row r="25" spans="1:21" x14ac:dyDescent="0.2">
      <c r="H25">
        <v>1</v>
      </c>
      <c r="I25" t="s">
        <v>8</v>
      </c>
      <c r="J25">
        <v>2</v>
      </c>
      <c r="K25">
        <v>2</v>
      </c>
      <c r="L25">
        <v>2</v>
      </c>
      <c r="O25">
        <v>2</v>
      </c>
      <c r="P25" t="s">
        <v>257</v>
      </c>
      <c r="Q25">
        <v>1.946</v>
      </c>
      <c r="R25">
        <v>1.946</v>
      </c>
      <c r="S25">
        <v>1.9459</v>
      </c>
    </row>
    <row r="26" spans="1:21" x14ac:dyDescent="0.2">
      <c r="A26" t="s">
        <v>224</v>
      </c>
      <c r="B26" t="s">
        <v>225</v>
      </c>
      <c r="C26" t="s">
        <v>226</v>
      </c>
      <c r="D26" t="s">
        <v>224</v>
      </c>
      <c r="H26">
        <v>2</v>
      </c>
      <c r="I26" t="s">
        <v>231</v>
      </c>
      <c r="J26">
        <v>1.845</v>
      </c>
      <c r="K26">
        <v>1.845</v>
      </c>
      <c r="L26">
        <v>1.8448</v>
      </c>
      <c r="O26">
        <v>3</v>
      </c>
      <c r="P26" t="s">
        <v>254</v>
      </c>
      <c r="Q26">
        <v>2.2040000000000002</v>
      </c>
      <c r="R26">
        <v>2.1739999999999999</v>
      </c>
      <c r="S26">
        <v>2.1737000000000002</v>
      </c>
    </row>
    <row r="27" spans="1:21" x14ac:dyDescent="0.2">
      <c r="B27" t="s">
        <v>227</v>
      </c>
      <c r="C27" t="s">
        <v>228</v>
      </c>
      <c r="D27" t="s">
        <v>229</v>
      </c>
      <c r="E27" t="s">
        <v>230</v>
      </c>
      <c r="H27">
        <v>3</v>
      </c>
      <c r="I27" t="s">
        <v>232</v>
      </c>
      <c r="J27">
        <v>1.964</v>
      </c>
      <c r="K27">
        <v>1.964</v>
      </c>
      <c r="L27">
        <v>1.9644999999999999</v>
      </c>
    </row>
    <row r="28" spans="1:21" x14ac:dyDescent="0.2">
      <c r="A28">
        <v>1</v>
      </c>
      <c r="B28" t="s">
        <v>8</v>
      </c>
      <c r="C28">
        <v>2</v>
      </c>
      <c r="D28">
        <v>2</v>
      </c>
      <c r="E28">
        <v>2</v>
      </c>
      <c r="H28">
        <v>4</v>
      </c>
      <c r="I28" t="s">
        <v>194</v>
      </c>
      <c r="J28" s="128">
        <v>2.3210000000000002</v>
      </c>
      <c r="K28" s="128">
        <v>2.2789999999999999</v>
      </c>
      <c r="L28" s="128">
        <v>2.2787999999999999</v>
      </c>
      <c r="O28" t="s">
        <v>224</v>
      </c>
      <c r="P28" t="s">
        <v>233</v>
      </c>
      <c r="Q28" t="s">
        <v>255</v>
      </c>
      <c r="R28" t="s">
        <v>235</v>
      </c>
      <c r="S28" t="s">
        <v>3</v>
      </c>
      <c r="T28" t="s">
        <v>236</v>
      </c>
      <c r="U28" t="s">
        <v>224</v>
      </c>
    </row>
    <row r="29" spans="1:21" x14ac:dyDescent="0.2">
      <c r="A29">
        <v>2</v>
      </c>
      <c r="B29" t="s">
        <v>9</v>
      </c>
      <c r="C29">
        <v>1.601</v>
      </c>
      <c r="D29">
        <v>1.601</v>
      </c>
      <c r="E29">
        <v>1.601</v>
      </c>
      <c r="P29" t="s">
        <v>237</v>
      </c>
      <c r="Q29" t="s">
        <v>233</v>
      </c>
    </row>
    <row r="30" spans="1:21" x14ac:dyDescent="0.2">
      <c r="A30">
        <v>3</v>
      </c>
      <c r="B30" t="s">
        <v>10</v>
      </c>
      <c r="C30">
        <v>1.9950000000000001</v>
      </c>
      <c r="D30">
        <v>1.9950000000000001</v>
      </c>
      <c r="E30">
        <v>1.9952000000000001</v>
      </c>
      <c r="H30" t="s">
        <v>224</v>
      </c>
      <c r="I30" t="s">
        <v>233</v>
      </c>
      <c r="J30" t="s">
        <v>234</v>
      </c>
      <c r="K30" t="s">
        <v>235</v>
      </c>
      <c r="L30" t="s">
        <v>3</v>
      </c>
      <c r="M30" t="s">
        <v>236</v>
      </c>
      <c r="N30" t="s">
        <v>224</v>
      </c>
      <c r="O30">
        <v>1</v>
      </c>
      <c r="P30">
        <v>1</v>
      </c>
      <c r="Q30">
        <v>0.91541609999999995</v>
      </c>
    </row>
    <row r="31" spans="1:21" x14ac:dyDescent="0.2">
      <c r="A31">
        <v>4</v>
      </c>
      <c r="B31" t="s">
        <v>11</v>
      </c>
      <c r="C31">
        <v>2.0489999999999999</v>
      </c>
      <c r="D31">
        <v>2.0489999999999999</v>
      </c>
      <c r="E31">
        <v>2.0486</v>
      </c>
      <c r="I31" t="s">
        <v>237</v>
      </c>
      <c r="J31" t="s">
        <v>233</v>
      </c>
      <c r="O31">
        <v>2</v>
      </c>
      <c r="P31">
        <v>2</v>
      </c>
      <c r="Q31">
        <v>0.83104290000000003</v>
      </c>
    </row>
    <row r="32" spans="1:21" x14ac:dyDescent="0.2">
      <c r="A32">
        <v>5</v>
      </c>
      <c r="B32" t="s">
        <v>12</v>
      </c>
      <c r="C32">
        <v>1.8959999999999999</v>
      </c>
      <c r="D32">
        <v>1.8959999999999999</v>
      </c>
      <c r="E32">
        <v>1.8956</v>
      </c>
      <c r="H32">
        <v>1</v>
      </c>
      <c r="I32">
        <v>1</v>
      </c>
      <c r="J32">
        <v>0.92383990000000005</v>
      </c>
      <c r="O32">
        <v>3</v>
      </c>
      <c r="P32">
        <v>3</v>
      </c>
      <c r="Q32">
        <v>0.36779070000000003</v>
      </c>
    </row>
    <row r="33" spans="1:21" x14ac:dyDescent="0.2">
      <c r="A33">
        <v>6</v>
      </c>
      <c r="B33" t="s">
        <v>13</v>
      </c>
      <c r="C33">
        <v>2.508</v>
      </c>
      <c r="D33">
        <v>2.452</v>
      </c>
      <c r="E33">
        <v>2.4525000000000001</v>
      </c>
      <c r="H33">
        <v>2</v>
      </c>
      <c r="I33">
        <v>2</v>
      </c>
      <c r="J33">
        <v>0.85689219999999999</v>
      </c>
      <c r="O33">
        <v>4</v>
      </c>
      <c r="P33">
        <v>4</v>
      </c>
      <c r="Q33">
        <v>0.37775199999999998</v>
      </c>
    </row>
    <row r="34" spans="1:21" x14ac:dyDescent="0.2">
      <c r="A34">
        <v>7</v>
      </c>
      <c r="B34" t="s">
        <v>14</v>
      </c>
      <c r="C34">
        <v>2.105</v>
      </c>
      <c r="D34">
        <v>2.077</v>
      </c>
      <c r="E34">
        <v>2.0769000000000002</v>
      </c>
      <c r="H34">
        <v>3</v>
      </c>
      <c r="I34">
        <v>3</v>
      </c>
      <c r="J34">
        <v>0.3585101</v>
      </c>
    </row>
    <row r="35" spans="1:21" x14ac:dyDescent="0.2">
      <c r="H35">
        <v>4</v>
      </c>
      <c r="I35">
        <v>4</v>
      </c>
      <c r="J35">
        <v>0.45503510000000003</v>
      </c>
      <c r="O35" t="s">
        <v>220</v>
      </c>
    </row>
    <row r="36" spans="1:21" x14ac:dyDescent="0.2">
      <c r="A36" t="s">
        <v>224</v>
      </c>
      <c r="B36" t="s">
        <v>233</v>
      </c>
      <c r="C36" t="s">
        <v>256</v>
      </c>
      <c r="D36" t="s">
        <v>235</v>
      </c>
      <c r="E36" t="s">
        <v>3</v>
      </c>
      <c r="F36" t="s">
        <v>236</v>
      </c>
      <c r="G36" t="s">
        <v>224</v>
      </c>
      <c r="O36" t="s">
        <v>221</v>
      </c>
      <c r="P36" t="s">
        <v>222</v>
      </c>
      <c r="Q36" t="s">
        <v>239</v>
      </c>
    </row>
    <row r="37" spans="1:21" x14ac:dyDescent="0.2">
      <c r="B37" t="s">
        <v>237</v>
      </c>
      <c r="C37" t="s">
        <v>240</v>
      </c>
      <c r="H37" t="s">
        <v>220</v>
      </c>
      <c r="O37" t="s">
        <v>220</v>
      </c>
    </row>
    <row r="38" spans="1:21" x14ac:dyDescent="0.2">
      <c r="A38">
        <v>1</v>
      </c>
      <c r="B38">
        <v>1</v>
      </c>
      <c r="C38">
        <v>0.89841159999999998</v>
      </c>
      <c r="H38" t="s">
        <v>221</v>
      </c>
      <c r="I38" t="s">
        <v>222</v>
      </c>
      <c r="J38" t="s">
        <v>239</v>
      </c>
    </row>
    <row r="39" spans="1:21" x14ac:dyDescent="0.2">
      <c r="A39">
        <v>2</v>
      </c>
      <c r="B39">
        <v>2</v>
      </c>
      <c r="C39">
        <v>0.81388170000000004</v>
      </c>
      <c r="H39" t="s">
        <v>220</v>
      </c>
      <c r="O39" t="s">
        <v>224</v>
      </c>
      <c r="P39" t="s">
        <v>225</v>
      </c>
      <c r="Q39" t="s">
        <v>226</v>
      </c>
      <c r="R39" t="s">
        <v>224</v>
      </c>
    </row>
    <row r="40" spans="1:21" x14ac:dyDescent="0.2">
      <c r="A40">
        <v>3</v>
      </c>
      <c r="B40">
        <v>3</v>
      </c>
      <c r="C40">
        <v>0.33330779999999999</v>
      </c>
      <c r="P40" t="s">
        <v>227</v>
      </c>
      <c r="Q40" t="s">
        <v>228</v>
      </c>
      <c r="R40" t="s">
        <v>229</v>
      </c>
      <c r="S40" t="s">
        <v>230</v>
      </c>
    </row>
    <row r="41" spans="1:21" x14ac:dyDescent="0.2">
      <c r="A41">
        <v>4</v>
      </c>
      <c r="B41">
        <v>4</v>
      </c>
      <c r="C41">
        <v>0.38963370000000003</v>
      </c>
      <c r="H41" t="s">
        <v>224</v>
      </c>
      <c r="I41" t="s">
        <v>225</v>
      </c>
      <c r="J41" t="s">
        <v>226</v>
      </c>
      <c r="K41" t="s">
        <v>224</v>
      </c>
      <c r="O41">
        <v>1</v>
      </c>
      <c r="P41" t="s">
        <v>8</v>
      </c>
      <c r="Q41">
        <v>1.9970000000000001</v>
      </c>
      <c r="R41">
        <v>1.9970000000000001</v>
      </c>
      <c r="S41">
        <v>1.9970000000000001</v>
      </c>
    </row>
    <row r="42" spans="1:21" x14ac:dyDescent="0.2">
      <c r="I42" t="s">
        <v>227</v>
      </c>
      <c r="J42" t="s">
        <v>228</v>
      </c>
      <c r="K42" t="s">
        <v>229</v>
      </c>
      <c r="L42" t="s">
        <v>230</v>
      </c>
      <c r="O42">
        <v>2</v>
      </c>
      <c r="P42" t="s">
        <v>257</v>
      </c>
      <c r="Q42">
        <v>1.9330000000000001</v>
      </c>
      <c r="R42">
        <v>1.9330000000000001</v>
      </c>
      <c r="S42">
        <v>1.9331</v>
      </c>
    </row>
    <row r="43" spans="1:21" x14ac:dyDescent="0.2">
      <c r="A43" t="s">
        <v>220</v>
      </c>
      <c r="H43">
        <v>1</v>
      </c>
      <c r="I43" t="s">
        <v>8</v>
      </c>
      <c r="J43">
        <v>1.9970000000000001</v>
      </c>
      <c r="K43">
        <v>1.9970000000000001</v>
      </c>
      <c r="L43">
        <v>1.9970000000000001</v>
      </c>
      <c r="O43">
        <v>3</v>
      </c>
      <c r="P43" t="s">
        <v>254</v>
      </c>
      <c r="Q43">
        <v>2.2120000000000002</v>
      </c>
      <c r="R43">
        <v>2.2120000000000002</v>
      </c>
      <c r="S43">
        <v>2.2117</v>
      </c>
    </row>
    <row r="44" spans="1:21" x14ac:dyDescent="0.2">
      <c r="A44" t="s">
        <v>221</v>
      </c>
      <c r="B44" t="s">
        <v>222</v>
      </c>
      <c r="C44" t="s">
        <v>239</v>
      </c>
      <c r="H44">
        <v>2</v>
      </c>
      <c r="I44" t="s">
        <v>231</v>
      </c>
      <c r="J44">
        <v>1.8380000000000001</v>
      </c>
      <c r="K44">
        <v>1.8380000000000001</v>
      </c>
      <c r="L44">
        <v>1.8379000000000001</v>
      </c>
    </row>
    <row r="45" spans="1:21" x14ac:dyDescent="0.2">
      <c r="A45" t="s">
        <v>220</v>
      </c>
      <c r="H45">
        <v>3</v>
      </c>
      <c r="I45" t="s">
        <v>232</v>
      </c>
      <c r="J45">
        <v>2.12</v>
      </c>
      <c r="K45">
        <v>2.12</v>
      </c>
      <c r="L45">
        <v>2.1196000000000002</v>
      </c>
      <c r="O45" t="s">
        <v>224</v>
      </c>
      <c r="P45" t="s">
        <v>233</v>
      </c>
      <c r="Q45" t="s">
        <v>255</v>
      </c>
      <c r="R45" t="s">
        <v>235</v>
      </c>
      <c r="S45" t="s">
        <v>3</v>
      </c>
      <c r="T45" t="s">
        <v>236</v>
      </c>
      <c r="U45" t="s">
        <v>224</v>
      </c>
    </row>
    <row r="46" spans="1:21" x14ac:dyDescent="0.2">
      <c r="H46">
        <v>4</v>
      </c>
      <c r="I46" t="s">
        <v>194</v>
      </c>
      <c r="J46" s="128">
        <v>2.2949999999999999</v>
      </c>
      <c r="K46" s="128">
        <v>2.2949999999999999</v>
      </c>
      <c r="L46" s="128">
        <v>2.2951999999999999</v>
      </c>
      <c r="P46" t="s">
        <v>237</v>
      </c>
      <c r="Q46" t="s">
        <v>233</v>
      </c>
    </row>
    <row r="47" spans="1:21" x14ac:dyDescent="0.2">
      <c r="A47" t="s">
        <v>224</v>
      </c>
      <c r="B47" t="s">
        <v>225</v>
      </c>
      <c r="C47" t="s">
        <v>226</v>
      </c>
      <c r="D47" t="s">
        <v>224</v>
      </c>
      <c r="O47">
        <v>1</v>
      </c>
      <c r="P47">
        <v>1</v>
      </c>
      <c r="Q47">
        <v>0.92202039999999996</v>
      </c>
    </row>
    <row r="48" spans="1:21" x14ac:dyDescent="0.2">
      <c r="B48" t="s">
        <v>227</v>
      </c>
      <c r="C48" t="s">
        <v>228</v>
      </c>
      <c r="D48" t="s">
        <v>229</v>
      </c>
      <c r="E48" t="s">
        <v>230</v>
      </c>
      <c r="H48" t="s">
        <v>224</v>
      </c>
      <c r="I48" t="s">
        <v>233</v>
      </c>
      <c r="J48" t="s">
        <v>234</v>
      </c>
      <c r="K48" t="s">
        <v>235</v>
      </c>
      <c r="L48" t="s">
        <v>3</v>
      </c>
      <c r="M48" t="s">
        <v>236</v>
      </c>
      <c r="N48" t="s">
        <v>224</v>
      </c>
      <c r="O48">
        <v>2</v>
      </c>
      <c r="P48">
        <v>2</v>
      </c>
      <c r="Q48">
        <v>0.84959890000000005</v>
      </c>
    </row>
    <row r="49" spans="1:21" x14ac:dyDescent="0.2">
      <c r="A49">
        <v>1</v>
      </c>
      <c r="B49" t="s">
        <v>8</v>
      </c>
      <c r="C49">
        <v>1.9970000000000001</v>
      </c>
      <c r="D49">
        <v>1.9970000000000001</v>
      </c>
      <c r="E49">
        <v>1.9970000000000001</v>
      </c>
      <c r="I49" t="s">
        <v>237</v>
      </c>
      <c r="J49" t="s">
        <v>233</v>
      </c>
      <c r="O49">
        <v>3</v>
      </c>
      <c r="P49">
        <v>3</v>
      </c>
      <c r="Q49">
        <v>0.34400819999999999</v>
      </c>
    </row>
    <row r="50" spans="1:21" x14ac:dyDescent="0.2">
      <c r="A50">
        <v>2</v>
      </c>
      <c r="B50" t="s">
        <v>9</v>
      </c>
      <c r="C50">
        <v>1.837</v>
      </c>
      <c r="D50">
        <v>1.837</v>
      </c>
      <c r="E50">
        <v>1.8366</v>
      </c>
      <c r="H50">
        <v>1</v>
      </c>
      <c r="I50">
        <v>1</v>
      </c>
      <c r="J50">
        <v>0.91090970000000004</v>
      </c>
      <c r="O50">
        <v>4</v>
      </c>
      <c r="P50">
        <v>4</v>
      </c>
      <c r="Q50">
        <v>0.420074</v>
      </c>
    </row>
    <row r="51" spans="1:21" x14ac:dyDescent="0.2">
      <c r="A51">
        <v>3</v>
      </c>
      <c r="B51" t="s">
        <v>10</v>
      </c>
      <c r="C51">
        <v>1.84</v>
      </c>
      <c r="D51">
        <v>1.84</v>
      </c>
      <c r="E51">
        <v>1.8395999999999999</v>
      </c>
      <c r="H51">
        <v>2</v>
      </c>
      <c r="I51">
        <v>2</v>
      </c>
      <c r="J51">
        <v>0.84941049999999996</v>
      </c>
    </row>
    <row r="52" spans="1:21" x14ac:dyDescent="0.2">
      <c r="A52">
        <v>4</v>
      </c>
      <c r="B52" t="s">
        <v>11</v>
      </c>
      <c r="C52">
        <v>2.1619999999999999</v>
      </c>
      <c r="D52">
        <v>2.1619999999999999</v>
      </c>
      <c r="E52">
        <v>2.1621999999999999</v>
      </c>
      <c r="H52">
        <v>3</v>
      </c>
      <c r="I52">
        <v>3</v>
      </c>
      <c r="J52">
        <v>0.3920651</v>
      </c>
      <c r="O52" t="s">
        <v>220</v>
      </c>
    </row>
    <row r="53" spans="1:21" x14ac:dyDescent="0.2">
      <c r="A53">
        <v>5</v>
      </c>
      <c r="B53" t="s">
        <v>12</v>
      </c>
      <c r="C53">
        <v>2.077</v>
      </c>
      <c r="D53">
        <v>2.077</v>
      </c>
      <c r="E53">
        <v>2.0775999999999999</v>
      </c>
      <c r="H53">
        <v>4</v>
      </c>
      <c r="I53">
        <v>4</v>
      </c>
      <c r="J53">
        <v>0.43648110000000001</v>
      </c>
      <c r="O53" t="s">
        <v>221</v>
      </c>
      <c r="P53" t="s">
        <v>222</v>
      </c>
      <c r="Q53" t="s">
        <v>168</v>
      </c>
    </row>
    <row r="54" spans="1:21" x14ac:dyDescent="0.2">
      <c r="A54">
        <v>6</v>
      </c>
      <c r="B54" t="s">
        <v>13</v>
      </c>
      <c r="C54">
        <v>2.3580000000000001</v>
      </c>
      <c r="D54">
        <v>2.3580000000000001</v>
      </c>
      <c r="E54">
        <v>2.3580999999999999</v>
      </c>
      <c r="O54" t="s">
        <v>220</v>
      </c>
    </row>
    <row r="55" spans="1:21" x14ac:dyDescent="0.2">
      <c r="A55">
        <v>7</v>
      </c>
      <c r="B55" t="s">
        <v>14</v>
      </c>
      <c r="C55">
        <v>2.218</v>
      </c>
      <c r="D55">
        <v>2.218</v>
      </c>
      <c r="E55">
        <v>2.2181999999999999</v>
      </c>
      <c r="H55" t="s">
        <v>220</v>
      </c>
    </row>
    <row r="56" spans="1:21" x14ac:dyDescent="0.2">
      <c r="H56" t="s">
        <v>221</v>
      </c>
      <c r="I56" t="s">
        <v>222</v>
      </c>
      <c r="J56" t="s">
        <v>168</v>
      </c>
      <c r="O56" t="s">
        <v>224</v>
      </c>
      <c r="P56" t="s">
        <v>225</v>
      </c>
      <c r="Q56" t="s">
        <v>226</v>
      </c>
      <c r="R56" t="s">
        <v>224</v>
      </c>
    </row>
    <row r="57" spans="1:21" x14ac:dyDescent="0.2">
      <c r="A57" t="s">
        <v>224</v>
      </c>
      <c r="B57" t="s">
        <v>233</v>
      </c>
      <c r="C57" t="s">
        <v>256</v>
      </c>
      <c r="D57" t="s">
        <v>235</v>
      </c>
      <c r="E57" t="s">
        <v>3</v>
      </c>
      <c r="F57" t="s">
        <v>236</v>
      </c>
      <c r="G57" t="s">
        <v>224</v>
      </c>
      <c r="H57" t="s">
        <v>220</v>
      </c>
      <c r="P57" t="s">
        <v>227</v>
      </c>
      <c r="Q57" t="s">
        <v>228</v>
      </c>
      <c r="R57" t="s">
        <v>229</v>
      </c>
      <c r="S57" t="s">
        <v>230</v>
      </c>
    </row>
    <row r="58" spans="1:21" x14ac:dyDescent="0.2">
      <c r="B58" t="s">
        <v>237</v>
      </c>
      <c r="C58" t="s">
        <v>242</v>
      </c>
      <c r="O58">
        <v>1</v>
      </c>
      <c r="P58" t="s">
        <v>8</v>
      </c>
      <c r="Q58">
        <v>1.87</v>
      </c>
      <c r="R58">
        <v>1.87</v>
      </c>
      <c r="S58">
        <v>1.8703000000000001</v>
      </c>
    </row>
    <row r="59" spans="1:21" x14ac:dyDescent="0.2">
      <c r="A59">
        <v>1</v>
      </c>
      <c r="B59">
        <v>1</v>
      </c>
      <c r="C59">
        <v>0.8794727</v>
      </c>
      <c r="H59" t="s">
        <v>224</v>
      </c>
      <c r="I59" t="s">
        <v>225</v>
      </c>
      <c r="J59" t="s">
        <v>226</v>
      </c>
      <c r="K59" t="s">
        <v>224</v>
      </c>
      <c r="O59">
        <v>2</v>
      </c>
      <c r="P59" t="s">
        <v>257</v>
      </c>
      <c r="Q59">
        <v>1.9410000000000001</v>
      </c>
      <c r="R59">
        <v>1.9410000000000001</v>
      </c>
      <c r="S59">
        <v>1.9415</v>
      </c>
    </row>
    <row r="60" spans="1:21" x14ac:dyDescent="0.2">
      <c r="A60">
        <v>2</v>
      </c>
      <c r="B60">
        <v>2</v>
      </c>
      <c r="C60">
        <v>0.87145249999999996</v>
      </c>
      <c r="I60" t="s">
        <v>227</v>
      </c>
      <c r="J60" t="s">
        <v>228</v>
      </c>
      <c r="K60" t="s">
        <v>229</v>
      </c>
      <c r="L60" t="s">
        <v>230</v>
      </c>
      <c r="O60">
        <v>3</v>
      </c>
      <c r="P60" t="s">
        <v>254</v>
      </c>
      <c r="Q60">
        <v>2.395</v>
      </c>
      <c r="R60">
        <v>2.3919999999999999</v>
      </c>
      <c r="S60">
        <v>2.3921999999999999</v>
      </c>
    </row>
    <row r="61" spans="1:21" x14ac:dyDescent="0.2">
      <c r="A61">
        <v>3</v>
      </c>
      <c r="B61">
        <v>3</v>
      </c>
      <c r="C61">
        <v>0.34506550000000002</v>
      </c>
      <c r="H61">
        <v>1</v>
      </c>
      <c r="I61" t="s">
        <v>8</v>
      </c>
      <c r="J61">
        <v>1.87</v>
      </c>
      <c r="K61">
        <v>1.87</v>
      </c>
      <c r="L61">
        <v>1.8703000000000001</v>
      </c>
    </row>
    <row r="62" spans="1:21" x14ac:dyDescent="0.2">
      <c r="A62">
        <v>4</v>
      </c>
      <c r="B62">
        <v>4</v>
      </c>
      <c r="C62">
        <v>0.42740600000000001</v>
      </c>
      <c r="H62">
        <v>2</v>
      </c>
      <c r="I62" t="s">
        <v>231</v>
      </c>
      <c r="J62">
        <v>1.9039999999999999</v>
      </c>
      <c r="K62">
        <v>1.9039999999999999</v>
      </c>
      <c r="L62">
        <v>1.9041999999999999</v>
      </c>
      <c r="O62" t="s">
        <v>224</v>
      </c>
      <c r="P62" t="s">
        <v>233</v>
      </c>
      <c r="Q62" t="s">
        <v>255</v>
      </c>
      <c r="R62" t="s">
        <v>235</v>
      </c>
      <c r="S62" t="s">
        <v>3</v>
      </c>
      <c r="T62" t="s">
        <v>236</v>
      </c>
      <c r="U62" t="s">
        <v>224</v>
      </c>
    </row>
    <row r="63" spans="1:21" x14ac:dyDescent="0.2">
      <c r="H63">
        <v>3</v>
      </c>
      <c r="I63" t="s">
        <v>232</v>
      </c>
      <c r="J63">
        <v>2.113</v>
      </c>
      <c r="K63">
        <v>2.113</v>
      </c>
      <c r="L63">
        <v>2.1126</v>
      </c>
      <c r="P63" t="s">
        <v>237</v>
      </c>
      <c r="Q63" t="s">
        <v>233</v>
      </c>
    </row>
    <row r="64" spans="1:21" x14ac:dyDescent="0.2">
      <c r="A64" t="s">
        <v>220</v>
      </c>
      <c r="H64">
        <v>4</v>
      </c>
      <c r="I64" t="s">
        <v>194</v>
      </c>
      <c r="J64" s="128">
        <v>2.5070000000000001</v>
      </c>
      <c r="K64" s="128">
        <v>2.504</v>
      </c>
      <c r="L64" s="128">
        <v>2.5036</v>
      </c>
      <c r="O64">
        <v>1</v>
      </c>
      <c r="P64">
        <v>1</v>
      </c>
      <c r="Q64">
        <v>0.9278961</v>
      </c>
    </row>
    <row r="65" spans="1:17" x14ac:dyDescent="0.2">
      <c r="A65" t="s">
        <v>221</v>
      </c>
      <c r="B65" t="s">
        <v>222</v>
      </c>
      <c r="C65" t="s">
        <v>168</v>
      </c>
      <c r="O65">
        <v>2</v>
      </c>
      <c r="P65">
        <v>2</v>
      </c>
      <c r="Q65">
        <v>0.86140629999999996</v>
      </c>
    </row>
    <row r="66" spans="1:17" x14ac:dyDescent="0.2">
      <c r="A66" t="s">
        <v>220</v>
      </c>
      <c r="H66" t="s">
        <v>224</v>
      </c>
      <c r="I66" t="s">
        <v>233</v>
      </c>
      <c r="J66" t="s">
        <v>234</v>
      </c>
      <c r="K66" t="s">
        <v>235</v>
      </c>
      <c r="L66" t="s">
        <v>3</v>
      </c>
      <c r="M66" t="s">
        <v>236</v>
      </c>
      <c r="N66" t="s">
        <v>224</v>
      </c>
      <c r="O66">
        <v>3</v>
      </c>
      <c r="P66">
        <v>3</v>
      </c>
      <c r="Q66">
        <v>0.44109890000000002</v>
      </c>
    </row>
    <row r="67" spans="1:17" x14ac:dyDescent="0.2">
      <c r="I67" t="s">
        <v>237</v>
      </c>
      <c r="J67" t="s">
        <v>233</v>
      </c>
      <c r="O67">
        <v>4</v>
      </c>
      <c r="P67">
        <v>4</v>
      </c>
      <c r="Q67">
        <v>0.436025</v>
      </c>
    </row>
    <row r="68" spans="1:17" x14ac:dyDescent="0.2">
      <c r="A68" t="s">
        <v>224</v>
      </c>
      <c r="B68" t="s">
        <v>225</v>
      </c>
      <c r="C68" t="s">
        <v>226</v>
      </c>
      <c r="D68" t="s">
        <v>224</v>
      </c>
      <c r="H68">
        <v>1</v>
      </c>
      <c r="I68">
        <v>1</v>
      </c>
      <c r="J68">
        <v>0.93253079999999999</v>
      </c>
    </row>
    <row r="69" spans="1:17" x14ac:dyDescent="0.2">
      <c r="B69" t="s">
        <v>227</v>
      </c>
      <c r="C69" t="s">
        <v>228</v>
      </c>
      <c r="D69" t="s">
        <v>229</v>
      </c>
      <c r="E69" t="s">
        <v>230</v>
      </c>
      <c r="H69">
        <v>2</v>
      </c>
      <c r="I69">
        <v>2</v>
      </c>
      <c r="J69">
        <v>0.86261049999999995</v>
      </c>
    </row>
    <row r="70" spans="1:17" x14ac:dyDescent="0.2">
      <c r="A70">
        <v>1</v>
      </c>
      <c r="B70" t="s">
        <v>8</v>
      </c>
      <c r="C70">
        <v>1.87</v>
      </c>
      <c r="D70">
        <v>1.87</v>
      </c>
      <c r="E70">
        <v>1.8703000000000001</v>
      </c>
      <c r="H70">
        <v>3</v>
      </c>
      <c r="I70">
        <v>3</v>
      </c>
      <c r="J70">
        <v>0.47560249999999998</v>
      </c>
    </row>
    <row r="71" spans="1:17" x14ac:dyDescent="0.2">
      <c r="A71">
        <v>2</v>
      </c>
      <c r="B71" t="s">
        <v>9</v>
      </c>
      <c r="C71">
        <v>1.8859999999999999</v>
      </c>
      <c r="D71">
        <v>1.8859999999999999</v>
      </c>
      <c r="E71">
        <v>1.8856999999999999</v>
      </c>
      <c r="H71">
        <v>4</v>
      </c>
      <c r="I71">
        <v>4</v>
      </c>
      <c r="J71">
        <v>0.48326010000000003</v>
      </c>
    </row>
    <row r="72" spans="1:17" x14ac:dyDescent="0.2">
      <c r="A72">
        <v>3</v>
      </c>
      <c r="B72" t="s">
        <v>10</v>
      </c>
      <c r="C72">
        <v>1.9239999999999999</v>
      </c>
      <c r="D72">
        <v>1.9239999999999999</v>
      </c>
      <c r="E72">
        <v>1.9241999999999999</v>
      </c>
    </row>
    <row r="73" spans="1:17" x14ac:dyDescent="0.2">
      <c r="A73">
        <v>4</v>
      </c>
      <c r="B73" t="s">
        <v>11</v>
      </c>
      <c r="C73">
        <v>2.0230000000000001</v>
      </c>
      <c r="D73">
        <v>2.0230000000000001</v>
      </c>
      <c r="E73">
        <v>2.0225</v>
      </c>
    </row>
    <row r="74" spans="1:17" x14ac:dyDescent="0.2">
      <c r="A74">
        <v>5</v>
      </c>
      <c r="B74" t="s">
        <v>12</v>
      </c>
      <c r="C74">
        <v>2.2050000000000001</v>
      </c>
      <c r="D74">
        <v>2.2029999999999998</v>
      </c>
      <c r="E74">
        <v>2.2035</v>
      </c>
    </row>
    <row r="75" spans="1:17" x14ac:dyDescent="0.2">
      <c r="A75">
        <v>6</v>
      </c>
      <c r="B75" t="s">
        <v>13</v>
      </c>
      <c r="C75">
        <v>2.4319999999999999</v>
      </c>
      <c r="D75">
        <v>2.4300000000000002</v>
      </c>
      <c r="E75">
        <v>2.4293999999999998</v>
      </c>
    </row>
    <row r="76" spans="1:17" x14ac:dyDescent="0.2">
      <c r="A76">
        <v>7</v>
      </c>
      <c r="B76" t="s">
        <v>14</v>
      </c>
      <c r="C76">
        <v>2.6</v>
      </c>
      <c r="D76">
        <v>2.5960000000000001</v>
      </c>
      <c r="E76">
        <v>2.5960999999999999</v>
      </c>
    </row>
    <row r="78" spans="1:17" x14ac:dyDescent="0.2">
      <c r="A78" t="s">
        <v>224</v>
      </c>
      <c r="B78" t="s">
        <v>233</v>
      </c>
      <c r="C78" t="s">
        <v>256</v>
      </c>
      <c r="D78" t="s">
        <v>235</v>
      </c>
      <c r="E78" t="s">
        <v>3</v>
      </c>
      <c r="F78" t="s">
        <v>236</v>
      </c>
      <c r="G78" t="s">
        <v>224</v>
      </c>
    </row>
    <row r="79" spans="1:17" x14ac:dyDescent="0.2">
      <c r="B79" t="s">
        <v>237</v>
      </c>
      <c r="C79" t="s">
        <v>243</v>
      </c>
    </row>
    <row r="80" spans="1:17" x14ac:dyDescent="0.2">
      <c r="A80">
        <v>1</v>
      </c>
      <c r="B80">
        <v>1</v>
      </c>
      <c r="C80">
        <v>0.92720979999999997</v>
      </c>
    </row>
    <row r="81" spans="1:3" x14ac:dyDescent="0.2">
      <c r="A81">
        <v>2</v>
      </c>
      <c r="B81">
        <v>2</v>
      </c>
      <c r="C81">
        <v>0.85927100000000001</v>
      </c>
    </row>
    <row r="82" spans="1:3" x14ac:dyDescent="0.2">
      <c r="A82">
        <v>3</v>
      </c>
      <c r="B82">
        <v>3</v>
      </c>
      <c r="C82">
        <v>0.52526360000000005</v>
      </c>
    </row>
    <row r="83" spans="1:3" x14ac:dyDescent="0.2">
      <c r="A83">
        <v>4</v>
      </c>
      <c r="B83">
        <v>4</v>
      </c>
      <c r="C83">
        <v>0.52968590000000004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0424D5-C29C-4C4F-86E4-97B76979724E}">
  <dimension ref="A1:K40"/>
  <sheetViews>
    <sheetView zoomScale="104" workbookViewId="0">
      <selection activeCell="J24" sqref="J24"/>
    </sheetView>
  </sheetViews>
  <sheetFormatPr baseColWidth="10" defaultRowHeight="16" x14ac:dyDescent="0.2"/>
  <cols>
    <col min="9" max="10" width="12" bestFit="1" customWidth="1"/>
  </cols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11" x14ac:dyDescent="0.2">
      <c r="A2" t="s">
        <v>5</v>
      </c>
    </row>
    <row r="3" spans="1:11" x14ac:dyDescent="0.2">
      <c r="B3">
        <v>1</v>
      </c>
      <c r="C3">
        <v>2</v>
      </c>
      <c r="D3">
        <v>3</v>
      </c>
      <c r="E3">
        <v>95</v>
      </c>
      <c r="F3" t="s">
        <v>6</v>
      </c>
    </row>
    <row r="4" spans="1:11" x14ac:dyDescent="0.2">
      <c r="B4" s="1">
        <v>11873344.1</v>
      </c>
      <c r="C4" s="1">
        <v>21155353.300000001</v>
      </c>
      <c r="D4" s="1">
        <v>1370872</v>
      </c>
      <c r="E4" s="1">
        <v>73393.8</v>
      </c>
      <c r="F4" s="1">
        <v>17888492.899999999</v>
      </c>
    </row>
    <row r="7" spans="1:11" x14ac:dyDescent="0.2">
      <c r="A7" t="s">
        <v>7</v>
      </c>
    </row>
    <row r="8" spans="1:11" x14ac:dyDescent="0.2">
      <c r="B8" t="s">
        <v>8</v>
      </c>
      <c r="C8" t="s">
        <v>9</v>
      </c>
      <c r="D8" t="s">
        <v>10</v>
      </c>
      <c r="E8" t="s">
        <v>11</v>
      </c>
      <c r="F8" t="s">
        <v>12</v>
      </c>
      <c r="G8" t="s">
        <v>13</v>
      </c>
      <c r="H8" t="s">
        <v>14</v>
      </c>
      <c r="I8" s="4" t="s">
        <v>29</v>
      </c>
    </row>
    <row r="9" spans="1:11" x14ac:dyDescent="0.2">
      <c r="B9">
        <v>8417796</v>
      </c>
      <c r="C9">
        <v>8660654</v>
      </c>
      <c r="D9">
        <v>8023502</v>
      </c>
      <c r="E9">
        <v>7276364</v>
      </c>
      <c r="F9">
        <v>7097828</v>
      </c>
      <c r="G9">
        <v>6947801</v>
      </c>
      <c r="H9">
        <v>5937511</v>
      </c>
      <c r="I9" s="3">
        <f>SUM(B9:H9)</f>
        <v>52361456</v>
      </c>
    </row>
    <row r="12" spans="1:11" x14ac:dyDescent="0.2">
      <c r="A12" t="s">
        <v>0</v>
      </c>
      <c r="B12" t="s">
        <v>15</v>
      </c>
      <c r="C12" t="s">
        <v>2</v>
      </c>
      <c r="D12" t="s">
        <v>3</v>
      </c>
      <c r="E12" t="s">
        <v>4</v>
      </c>
    </row>
    <row r="13" spans="1:11" x14ac:dyDescent="0.2">
      <c r="B13" t="s">
        <v>7</v>
      </c>
    </row>
    <row r="14" spans="1:11" x14ac:dyDescent="0.2">
      <c r="A14" t="s">
        <v>16</v>
      </c>
      <c r="C14" t="s">
        <v>8</v>
      </c>
      <c r="D14" t="s">
        <v>9</v>
      </c>
      <c r="E14" t="s">
        <v>10</v>
      </c>
      <c r="F14" t="s">
        <v>11</v>
      </c>
      <c r="G14" t="s">
        <v>12</v>
      </c>
      <c r="H14" t="s">
        <v>13</v>
      </c>
      <c r="I14" t="s">
        <v>14</v>
      </c>
      <c r="J14" s="3" t="s">
        <v>28</v>
      </c>
      <c r="K14" s="7"/>
    </row>
    <row r="15" spans="1:11" x14ac:dyDescent="0.2">
      <c r="B15">
        <v>1</v>
      </c>
      <c r="C15" s="3">
        <v>6880481.2999999998</v>
      </c>
      <c r="D15" s="3">
        <v>7147455</v>
      </c>
      <c r="E15" s="3">
        <v>6748987.0999999996</v>
      </c>
      <c r="F15" s="3">
        <v>6152921.7000000002</v>
      </c>
      <c r="G15" s="3">
        <v>6031203</v>
      </c>
      <c r="H15" s="3">
        <v>5786108</v>
      </c>
      <c r="I15" s="3">
        <v>5081694.3</v>
      </c>
      <c r="J15" s="3">
        <f>SUM(C15:I15)</f>
        <v>43828850.399999991</v>
      </c>
      <c r="K15" s="7">
        <f>J15/$I$9</f>
        <v>0.83704414942166605</v>
      </c>
    </row>
    <row r="16" spans="1:11" x14ac:dyDescent="0.2">
      <c r="B16">
        <v>2</v>
      </c>
      <c r="C16" s="3">
        <v>1537314.8</v>
      </c>
      <c r="D16" s="3">
        <v>1513199.2</v>
      </c>
      <c r="E16" s="3">
        <v>1274514.8</v>
      </c>
      <c r="F16" s="3">
        <v>1123442.1000000001</v>
      </c>
      <c r="G16" s="3">
        <v>1066625.3</v>
      </c>
      <c r="H16" s="3">
        <v>1161692.5</v>
      </c>
      <c r="I16" s="3">
        <v>855817.1</v>
      </c>
      <c r="J16" s="3">
        <f>SUM(C16:I16)</f>
        <v>8532605.8000000007</v>
      </c>
      <c r="K16" s="7">
        <f>J16/$I$9</f>
        <v>0.16295585439793731</v>
      </c>
    </row>
    <row r="19" spans="1:11" x14ac:dyDescent="0.2">
      <c r="A19" t="s">
        <v>0</v>
      </c>
      <c r="B19" t="s">
        <v>17</v>
      </c>
      <c r="C19" t="s">
        <v>2</v>
      </c>
      <c r="D19" t="s">
        <v>3</v>
      </c>
      <c r="E19" t="s">
        <v>4</v>
      </c>
    </row>
    <row r="20" spans="1:11" x14ac:dyDescent="0.2">
      <c r="B20" t="s">
        <v>7</v>
      </c>
    </row>
    <row r="21" spans="1:11" x14ac:dyDescent="0.2">
      <c r="A21" t="s">
        <v>18</v>
      </c>
      <c r="B21" s="5"/>
      <c r="C21" s="5" t="s">
        <v>8</v>
      </c>
      <c r="D21" s="5" t="s">
        <v>9</v>
      </c>
      <c r="E21" s="5" t="s">
        <v>10</v>
      </c>
      <c r="F21" s="5" t="s">
        <v>11</v>
      </c>
      <c r="G21" s="5" t="s">
        <v>12</v>
      </c>
      <c r="H21" s="5" t="s">
        <v>13</v>
      </c>
      <c r="I21" s="5" t="s">
        <v>14</v>
      </c>
      <c r="J21" s="6" t="s">
        <v>28</v>
      </c>
      <c r="K21" s="5"/>
    </row>
    <row r="22" spans="1:11" x14ac:dyDescent="0.2">
      <c r="B22" s="5">
        <v>1</v>
      </c>
      <c r="C22" s="6">
        <v>747944.7</v>
      </c>
      <c r="D22" s="6">
        <v>718881.5</v>
      </c>
      <c r="E22" s="6">
        <v>637721.69999999995</v>
      </c>
      <c r="F22" s="6">
        <v>599902.5</v>
      </c>
      <c r="G22" s="6">
        <v>479944</v>
      </c>
      <c r="H22" s="6">
        <v>412261.1</v>
      </c>
      <c r="I22" s="6">
        <v>280600.8</v>
      </c>
      <c r="J22" s="6">
        <f>SUM(C22:I22)</f>
        <v>3877256.3</v>
      </c>
      <c r="K22" s="7">
        <f>J22/$I$9</f>
        <v>7.4047908446243357E-2</v>
      </c>
    </row>
    <row r="23" spans="1:11" x14ac:dyDescent="0.2">
      <c r="B23" s="5">
        <v>2</v>
      </c>
      <c r="C23" s="6">
        <v>2541140.1</v>
      </c>
      <c r="D23" s="6">
        <v>2390808.1</v>
      </c>
      <c r="E23" s="6">
        <v>2234308.6</v>
      </c>
      <c r="F23" s="6">
        <v>1868657.8</v>
      </c>
      <c r="G23" s="6">
        <v>1794270.1</v>
      </c>
      <c r="H23" s="6">
        <v>1571375.2</v>
      </c>
      <c r="I23" s="6">
        <v>1421764.3</v>
      </c>
      <c r="J23" s="6">
        <f>SUM(C23:I23)</f>
        <v>13822324.200000001</v>
      </c>
      <c r="K23" s="7">
        <f>J23/$I$9</f>
        <v>0.2639789886667781</v>
      </c>
    </row>
    <row r="24" spans="1:11" x14ac:dyDescent="0.2">
      <c r="B24" s="5">
        <v>3</v>
      </c>
      <c r="C24" s="6">
        <v>3380772.2</v>
      </c>
      <c r="D24" s="6">
        <v>3834307.7</v>
      </c>
      <c r="E24" s="6">
        <v>3403946.2</v>
      </c>
      <c r="F24" s="6">
        <v>3170723</v>
      </c>
      <c r="G24" s="6">
        <v>3332925.7</v>
      </c>
      <c r="H24" s="6">
        <v>3156997</v>
      </c>
      <c r="I24" s="6">
        <v>2796194</v>
      </c>
      <c r="J24" s="6">
        <f>SUM(C24:I24)</f>
        <v>23075865.800000001</v>
      </c>
      <c r="K24" s="7">
        <f>J24/$I$9</f>
        <v>0.44070328754800098</v>
      </c>
    </row>
    <row r="25" spans="1:11" x14ac:dyDescent="0.2">
      <c r="B25" s="5">
        <v>4</v>
      </c>
      <c r="C25" s="6">
        <v>1165220.6000000001</v>
      </c>
      <c r="D25" s="6">
        <v>1100138.6000000001</v>
      </c>
      <c r="E25" s="6">
        <v>1167287</v>
      </c>
      <c r="F25" s="6">
        <v>1113891.2</v>
      </c>
      <c r="G25" s="6">
        <v>960148.1</v>
      </c>
      <c r="H25" s="6">
        <v>1275012.1000000001</v>
      </c>
      <c r="I25" s="6">
        <v>998188.2</v>
      </c>
      <c r="J25" s="6">
        <f>SUM(C25:I25)</f>
        <v>7779885.7999999998</v>
      </c>
      <c r="K25" s="7">
        <f>J25/$I$9</f>
        <v>0.14858039470865744</v>
      </c>
    </row>
    <row r="26" spans="1:11" x14ac:dyDescent="0.2">
      <c r="B26" s="5">
        <v>5</v>
      </c>
      <c r="C26" s="6">
        <v>582718.4</v>
      </c>
      <c r="D26" s="6">
        <v>616518.30000000005</v>
      </c>
      <c r="E26" s="6">
        <v>580238.4</v>
      </c>
      <c r="F26" s="6">
        <v>523189.2</v>
      </c>
      <c r="G26" s="6">
        <v>530540.4</v>
      </c>
      <c r="H26" s="6">
        <v>532155.1</v>
      </c>
      <c r="I26" s="6">
        <v>440764.2</v>
      </c>
      <c r="J26" s="6">
        <f>SUM(C26:I26)</f>
        <v>3806124.0000000005</v>
      </c>
      <c r="K26" s="7">
        <f>J26/$I$9</f>
        <v>7.2689422540121881E-2</v>
      </c>
    </row>
    <row r="28" spans="1:11" x14ac:dyDescent="0.2">
      <c r="A28" t="s">
        <v>0</v>
      </c>
      <c r="B28" t="s">
        <v>19</v>
      </c>
      <c r="C28" t="s">
        <v>2</v>
      </c>
      <c r="D28" t="s">
        <v>3</v>
      </c>
      <c r="E28" t="s">
        <v>4</v>
      </c>
    </row>
    <row r="29" spans="1:11" x14ac:dyDescent="0.2">
      <c r="B29" t="s">
        <v>7</v>
      </c>
    </row>
    <row r="30" spans="1:11" x14ac:dyDescent="0.2">
      <c r="A30" t="s">
        <v>20</v>
      </c>
      <c r="C30" s="6" t="s">
        <v>8</v>
      </c>
      <c r="D30" s="6" t="s">
        <v>9</v>
      </c>
      <c r="E30" s="6" t="s">
        <v>10</v>
      </c>
      <c r="F30" s="6" t="s">
        <v>11</v>
      </c>
      <c r="G30" s="6" t="s">
        <v>12</v>
      </c>
      <c r="H30" s="6" t="s">
        <v>13</v>
      </c>
      <c r="I30" s="6" t="s">
        <v>14</v>
      </c>
      <c r="J30" s="6" t="s">
        <v>28</v>
      </c>
      <c r="K30" s="5"/>
    </row>
    <row r="31" spans="1:11" x14ac:dyDescent="0.2">
      <c r="B31" t="s">
        <v>21</v>
      </c>
      <c r="C31" s="6">
        <v>2475865.4</v>
      </c>
      <c r="D31" s="6">
        <v>2018834.8</v>
      </c>
      <c r="E31" s="6">
        <v>2623450.7000000002</v>
      </c>
      <c r="F31" s="6">
        <v>2588101</v>
      </c>
      <c r="G31" s="6">
        <v>2846353.1</v>
      </c>
      <c r="H31" s="6">
        <v>3129908.8</v>
      </c>
      <c r="I31" s="6">
        <v>3206123.6</v>
      </c>
      <c r="J31" s="6">
        <f>SUM(C31:I31)</f>
        <v>18888637.400000002</v>
      </c>
      <c r="K31" s="7">
        <f>J31/$I$9</f>
        <v>0.36073552652928526</v>
      </c>
    </row>
    <row r="32" spans="1:11" x14ac:dyDescent="0.2">
      <c r="B32" s="2">
        <v>45969</v>
      </c>
      <c r="C32" s="6">
        <v>5648637.0999999996</v>
      </c>
      <c r="D32" s="6">
        <v>5459932.5</v>
      </c>
      <c r="E32" s="6">
        <v>4080871.7</v>
      </c>
      <c r="F32" s="6">
        <v>3546276.2</v>
      </c>
      <c r="G32" s="6">
        <v>3091456</v>
      </c>
      <c r="H32" s="6">
        <v>2829245.5</v>
      </c>
      <c r="I32" s="6">
        <v>1813221.8</v>
      </c>
      <c r="J32" s="6">
        <f>SUM(C32:I32)</f>
        <v>26469640.800000001</v>
      </c>
      <c r="K32" s="7">
        <f>J32/$I$9</f>
        <v>0.50551766169374668</v>
      </c>
    </row>
    <row r="33" spans="1:11" x14ac:dyDescent="0.2">
      <c r="B33" t="s">
        <v>22</v>
      </c>
      <c r="C33" s="6">
        <v>246125.1</v>
      </c>
      <c r="D33" s="6">
        <v>1101211.2</v>
      </c>
      <c r="E33" s="6">
        <v>1234738.3999999999</v>
      </c>
      <c r="F33" s="6">
        <v>1099988.8999999999</v>
      </c>
      <c r="G33" s="6">
        <v>1110661.8999999999</v>
      </c>
      <c r="H33" s="6">
        <v>936292.9</v>
      </c>
      <c r="I33" s="6">
        <v>821358.6</v>
      </c>
      <c r="J33" s="6">
        <f>SUM(C33:I33)</f>
        <v>6550377</v>
      </c>
      <c r="K33" s="7">
        <f>J33/$I$9</f>
        <v>0.12509921420061351</v>
      </c>
    </row>
    <row r="35" spans="1:11" x14ac:dyDescent="0.2">
      <c r="A35" t="s">
        <v>0</v>
      </c>
      <c r="B35" t="s">
        <v>23</v>
      </c>
      <c r="C35" t="s">
        <v>2</v>
      </c>
      <c r="D35" t="s">
        <v>3</v>
      </c>
      <c r="E35" t="s">
        <v>4</v>
      </c>
    </row>
    <row r="36" spans="1:11" x14ac:dyDescent="0.2">
      <c r="B36" t="s">
        <v>7</v>
      </c>
    </row>
    <row r="37" spans="1:11" x14ac:dyDescent="0.2">
      <c r="A37" t="s">
        <v>24</v>
      </c>
      <c r="B37" s="6"/>
      <c r="C37" s="6" t="s">
        <v>8</v>
      </c>
      <c r="D37" s="6" t="s">
        <v>9</v>
      </c>
      <c r="E37" s="6" t="s">
        <v>10</v>
      </c>
      <c r="F37" s="6" t="s">
        <v>11</v>
      </c>
      <c r="G37" s="6" t="s">
        <v>12</v>
      </c>
      <c r="H37" s="6" t="s">
        <v>13</v>
      </c>
      <c r="I37" s="6" t="s">
        <v>14</v>
      </c>
      <c r="J37" s="6" t="s">
        <v>28</v>
      </c>
      <c r="K37" s="5"/>
    </row>
    <row r="38" spans="1:11" x14ac:dyDescent="0.2">
      <c r="B38" s="6" t="s">
        <v>25</v>
      </c>
      <c r="C38" s="6">
        <v>2978255</v>
      </c>
      <c r="D38" s="6">
        <v>3348152.9</v>
      </c>
      <c r="E38" s="6">
        <v>3019700.7</v>
      </c>
      <c r="F38" s="6">
        <v>2864515.6</v>
      </c>
      <c r="G38" s="6">
        <v>2903187.3</v>
      </c>
      <c r="H38" s="6">
        <v>3073902.9</v>
      </c>
      <c r="I38" s="6">
        <v>2686201.7</v>
      </c>
      <c r="J38" s="6">
        <f>SUM(C38:I38)</f>
        <v>20873916.099999998</v>
      </c>
      <c r="K38" s="7">
        <f>J38/$I$9</f>
        <v>0.39865041377000665</v>
      </c>
    </row>
    <row r="39" spans="1:11" x14ac:dyDescent="0.2">
      <c r="B39" s="6" t="s">
        <v>26</v>
      </c>
      <c r="C39" s="6">
        <v>4766161.2</v>
      </c>
      <c r="D39" s="6">
        <v>4688728.7</v>
      </c>
      <c r="E39" s="6">
        <v>4467841.5999999996</v>
      </c>
      <c r="F39" s="6">
        <v>4003088.6</v>
      </c>
      <c r="G39" s="6">
        <v>3827348.1</v>
      </c>
      <c r="H39" s="6">
        <v>3518047.6</v>
      </c>
      <c r="I39" s="6">
        <v>2998907</v>
      </c>
      <c r="J39" s="6">
        <f>SUM(C39:I39)</f>
        <v>28270122.800000004</v>
      </c>
      <c r="K39" s="7">
        <f>J39/$I$9</f>
        <v>0.5399032983345613</v>
      </c>
    </row>
    <row r="40" spans="1:11" x14ac:dyDescent="0.2">
      <c r="B40" s="6" t="s">
        <v>27</v>
      </c>
      <c r="C40" s="6">
        <v>598786.9</v>
      </c>
      <c r="D40" s="6">
        <v>556877.30000000005</v>
      </c>
      <c r="E40" s="6">
        <v>429450</v>
      </c>
      <c r="F40" s="6">
        <v>352412.3</v>
      </c>
      <c r="G40" s="6">
        <v>314293.40000000002</v>
      </c>
      <c r="H40" s="6">
        <v>263925.8</v>
      </c>
      <c r="I40" s="6">
        <v>199427.20000000001</v>
      </c>
      <c r="J40" s="6">
        <f>SUM(C40:I40)</f>
        <v>2715172.9000000004</v>
      </c>
      <c r="K40" s="7">
        <f>J40/$I$9</f>
        <v>5.1854419403463504E-2</v>
      </c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1BF0AA-D976-CD47-B473-DF41B69DB409}">
  <dimension ref="A2:T32"/>
  <sheetViews>
    <sheetView topLeftCell="B1" workbookViewId="0">
      <selection activeCell="I23" sqref="I23"/>
    </sheetView>
  </sheetViews>
  <sheetFormatPr baseColWidth="10" defaultRowHeight="16" x14ac:dyDescent="0.2"/>
  <cols>
    <col min="1" max="1" width="12.83203125" bestFit="1" customWidth="1"/>
    <col min="2" max="2" width="16.5" bestFit="1" customWidth="1"/>
    <col min="3" max="4" width="12" customWidth="1"/>
    <col min="6" max="6" width="10.83203125" customWidth="1"/>
    <col min="7" max="7" width="12" customWidth="1"/>
    <col min="8" max="8" width="16.5" bestFit="1" customWidth="1"/>
    <col min="9" max="11" width="14.1640625" customWidth="1"/>
  </cols>
  <sheetData>
    <row r="2" spans="2:19" ht="48" x14ac:dyDescent="0.2">
      <c r="B2" s="172" t="s">
        <v>46</v>
      </c>
      <c r="C2" s="170" t="s">
        <v>47</v>
      </c>
      <c r="D2" s="170"/>
      <c r="E2" s="171" t="s">
        <v>48</v>
      </c>
      <c r="F2" s="171"/>
      <c r="N2" s="13" t="s">
        <v>46</v>
      </c>
      <c r="O2" s="13" t="s">
        <v>49</v>
      </c>
      <c r="P2" s="13" t="s">
        <v>50</v>
      </c>
      <c r="Q2" s="13" t="s">
        <v>51</v>
      </c>
      <c r="R2" s="15"/>
      <c r="S2" s="15"/>
    </row>
    <row r="3" spans="2:19" ht="32" x14ac:dyDescent="0.2">
      <c r="B3" s="172"/>
      <c r="C3" s="13" t="s">
        <v>74</v>
      </c>
      <c r="D3" s="13" t="s">
        <v>75</v>
      </c>
      <c r="E3" s="13" t="s">
        <v>74</v>
      </c>
      <c r="F3" s="13" t="s">
        <v>75</v>
      </c>
      <c r="N3" s="16" t="s">
        <v>29</v>
      </c>
      <c r="O3" s="19"/>
      <c r="P3" s="19"/>
      <c r="Q3" s="20"/>
      <c r="R3" s="21"/>
      <c r="S3" s="21"/>
    </row>
    <row r="4" spans="2:19" x14ac:dyDescent="0.2">
      <c r="B4" s="16" t="s">
        <v>29</v>
      </c>
      <c r="C4" s="17">
        <f>mulheres!I9</f>
        <v>52361456</v>
      </c>
      <c r="D4" s="17">
        <f>[1]resumo!C3</f>
        <v>1370872.034</v>
      </c>
      <c r="E4" s="18">
        <v>1</v>
      </c>
      <c r="F4" s="18">
        <f>[1]resumo!D3</f>
        <v>1</v>
      </c>
      <c r="N4" s="16" t="s">
        <v>52</v>
      </c>
      <c r="O4" s="14"/>
      <c r="P4" s="14"/>
      <c r="Q4" s="14"/>
      <c r="R4" s="8"/>
      <c r="S4" s="8"/>
    </row>
    <row r="5" spans="2:19" x14ac:dyDescent="0.2">
      <c r="B5" s="16" t="s">
        <v>52</v>
      </c>
      <c r="C5" s="173"/>
      <c r="D5" s="174"/>
      <c r="E5" s="174"/>
      <c r="F5" s="175"/>
      <c r="N5" s="14" t="s">
        <v>53</v>
      </c>
      <c r="O5" s="19"/>
      <c r="P5" s="19"/>
      <c r="Q5" s="22"/>
      <c r="R5" s="23"/>
      <c r="S5" s="23"/>
    </row>
    <row r="6" spans="2:19" x14ac:dyDescent="0.2">
      <c r="B6" s="14" t="s">
        <v>53</v>
      </c>
      <c r="C6" s="17">
        <f>mulheres!J15</f>
        <v>43828850.399999991</v>
      </c>
      <c r="D6" s="17">
        <f>[1]resumo!C5</f>
        <v>1236773.0209999999</v>
      </c>
      <c r="E6" s="20">
        <f>mulheres!K15</f>
        <v>0.83704414942166605</v>
      </c>
      <c r="F6" s="20">
        <f>[1]resumo!D5</f>
        <v>0.90217977340399957</v>
      </c>
      <c r="N6" s="14" t="s">
        <v>54</v>
      </c>
      <c r="O6" s="19"/>
      <c r="P6" s="19"/>
      <c r="Q6" s="22"/>
      <c r="R6" s="23"/>
      <c r="S6" s="23"/>
    </row>
    <row r="7" spans="2:19" x14ac:dyDescent="0.2">
      <c r="B7" s="14" t="s">
        <v>54</v>
      </c>
      <c r="C7" s="17">
        <f>mulheres!J16</f>
        <v>8532605.8000000007</v>
      </c>
      <c r="D7" s="17">
        <f>[1]resumo!C6</f>
        <v>134099.01300000001</v>
      </c>
      <c r="E7" s="20">
        <f>mulheres!K16</f>
        <v>0.16295585439793731</v>
      </c>
      <c r="F7" s="20">
        <f>[1]resumo!D6</f>
        <v>9.7820226596000426E-2</v>
      </c>
      <c r="N7" s="16" t="s">
        <v>55</v>
      </c>
      <c r="O7" s="14"/>
      <c r="P7" s="14"/>
      <c r="Q7" s="14"/>
      <c r="R7" s="23"/>
      <c r="S7" s="23"/>
    </row>
    <row r="8" spans="2:19" x14ac:dyDescent="0.2">
      <c r="B8" s="16" t="s">
        <v>55</v>
      </c>
      <c r="C8" s="176"/>
      <c r="D8" s="177"/>
      <c r="E8" s="177"/>
      <c r="F8" s="178"/>
      <c r="N8" s="14" t="s">
        <v>56</v>
      </c>
      <c r="O8" s="19"/>
      <c r="P8" s="19"/>
      <c r="Q8" s="22"/>
      <c r="R8" s="23"/>
      <c r="S8" s="23"/>
    </row>
    <row r="9" spans="2:19" x14ac:dyDescent="0.2">
      <c r="B9" s="14" t="s">
        <v>56</v>
      </c>
      <c r="C9" s="17">
        <f>mulheres!J22</f>
        <v>3877256.3</v>
      </c>
      <c r="D9" s="17">
        <f>[1]resumo!C8</f>
        <v>109218.7138</v>
      </c>
      <c r="E9" s="20">
        <f>mulheres!K22</f>
        <v>7.4047908446243357E-2</v>
      </c>
      <c r="F9" s="20">
        <f>[1]resumo!D8</f>
        <v>7.9670976642010921E-2</v>
      </c>
      <c r="N9" s="14" t="s">
        <v>57</v>
      </c>
      <c r="O9" s="19"/>
      <c r="P9" s="19"/>
      <c r="Q9" s="22"/>
      <c r="R9" s="23"/>
      <c r="S9" s="23"/>
    </row>
    <row r="10" spans="2:19" x14ac:dyDescent="0.2">
      <c r="B10" s="14" t="s">
        <v>57</v>
      </c>
      <c r="C10" s="17">
        <f>mulheres!J23</f>
        <v>13822324.200000001</v>
      </c>
      <c r="D10" s="17">
        <f>[1]resumo!C9</f>
        <v>239070.29090000002</v>
      </c>
      <c r="E10" s="20">
        <f>mulheres!K23</f>
        <v>0.2639789886667781</v>
      </c>
      <c r="F10" s="20">
        <f>[1]resumo!D9</f>
        <v>0.17439285722565118</v>
      </c>
      <c r="N10" s="14" t="s">
        <v>58</v>
      </c>
      <c r="O10" s="19"/>
      <c r="P10" s="19"/>
      <c r="Q10" s="22"/>
      <c r="R10" s="23"/>
      <c r="S10" s="23"/>
    </row>
    <row r="11" spans="2:19" x14ac:dyDescent="0.2">
      <c r="B11" s="14" t="s">
        <v>58</v>
      </c>
      <c r="C11" s="17">
        <f>mulheres!J24</f>
        <v>23075865.800000001</v>
      </c>
      <c r="D11" s="17">
        <f>[1]resumo!C10</f>
        <v>610527.32960000006</v>
      </c>
      <c r="E11" s="20">
        <f>mulheres!K24</f>
        <v>0.44070328754800098</v>
      </c>
      <c r="F11" s="20">
        <f>[1]resumo!D10</f>
        <v>0.44535690747047513</v>
      </c>
      <c r="N11" s="14" t="s">
        <v>59</v>
      </c>
      <c r="O11" s="19"/>
      <c r="P11" s="19"/>
      <c r="Q11" s="22"/>
      <c r="R11" s="23"/>
      <c r="S11" s="23"/>
    </row>
    <row r="12" spans="2:19" x14ac:dyDescent="0.2">
      <c r="B12" s="14" t="s">
        <v>59</v>
      </c>
      <c r="C12" s="17">
        <f>mulheres!J25</f>
        <v>7779885.7999999998</v>
      </c>
      <c r="D12" s="17">
        <f>[1]resumo!C11</f>
        <v>291846.93859999999</v>
      </c>
      <c r="E12" s="20">
        <f>mulheres!K25</f>
        <v>0.14858039470865744</v>
      </c>
      <c r="F12" s="20">
        <f>[1]resumo!D11</f>
        <v>0.21289145256573233</v>
      </c>
      <c r="N12" s="14" t="s">
        <v>60</v>
      </c>
      <c r="O12" s="19"/>
      <c r="P12" s="19"/>
      <c r="Q12" s="22"/>
      <c r="R12" s="23"/>
      <c r="S12" s="23"/>
    </row>
    <row r="13" spans="2:19" x14ac:dyDescent="0.2">
      <c r="B13" s="14" t="s">
        <v>60</v>
      </c>
      <c r="C13" s="17">
        <f>mulheres!J26</f>
        <v>3806124.0000000005</v>
      </c>
      <c r="D13" s="17">
        <f>[1]resumo!C12</f>
        <v>120208.7617</v>
      </c>
      <c r="E13" s="20">
        <f>mulheres!K26</f>
        <v>7.2689422540121881E-2</v>
      </c>
      <c r="F13" s="20">
        <f>[1]resumo!D12</f>
        <v>8.7687806533808102E-2</v>
      </c>
      <c r="N13" s="16" t="s">
        <v>61</v>
      </c>
      <c r="O13" s="14"/>
      <c r="P13" s="14"/>
      <c r="Q13" s="14"/>
      <c r="R13" s="23"/>
      <c r="S13" s="23"/>
    </row>
    <row r="14" spans="2:19" x14ac:dyDescent="0.2">
      <c r="B14" s="16" t="s">
        <v>61</v>
      </c>
      <c r="C14" s="166"/>
      <c r="D14" s="167"/>
      <c r="E14" s="167"/>
      <c r="F14" s="168"/>
      <c r="N14" s="14" t="s">
        <v>63</v>
      </c>
      <c r="O14" s="19"/>
      <c r="P14" s="19"/>
      <c r="Q14" s="22"/>
      <c r="R14" s="23"/>
      <c r="S14" s="23"/>
    </row>
    <row r="15" spans="2:19" x14ac:dyDescent="0.2">
      <c r="B15" s="14" t="s">
        <v>62</v>
      </c>
      <c r="C15" s="17">
        <f>mulheres!J31</f>
        <v>18888637.400000002</v>
      </c>
      <c r="D15" s="17">
        <f>[1]resumo!C14</f>
        <v>122900.565</v>
      </c>
      <c r="E15" s="20">
        <f>mulheres!K31</f>
        <v>0.36073552652928526</v>
      </c>
      <c r="F15" s="20">
        <f>[1]resumo!D14</f>
        <v>8.9683253769438254E-2</v>
      </c>
      <c r="N15" s="14" t="s">
        <v>65</v>
      </c>
      <c r="O15" s="19"/>
      <c r="P15" s="19"/>
      <c r="Q15" s="22"/>
      <c r="R15" s="23"/>
      <c r="S15" s="23"/>
    </row>
    <row r="16" spans="2:19" x14ac:dyDescent="0.2">
      <c r="B16" s="14" t="s">
        <v>64</v>
      </c>
      <c r="C16" s="17">
        <f>mulheres!J32</f>
        <v>26469640.800000001</v>
      </c>
      <c r="D16" s="17">
        <f>[1]resumo!C15</f>
        <v>461148.44199999998</v>
      </c>
      <c r="E16" s="20">
        <f>mulheres!K32</f>
        <v>0.50551766169374668</v>
      </c>
      <c r="F16" s="20">
        <f>[1]resumo!D15</f>
        <v>0.33651019219697709</v>
      </c>
      <c r="N16" s="14" t="s">
        <v>66</v>
      </c>
      <c r="O16" s="19"/>
      <c r="P16" s="19"/>
      <c r="Q16" s="22"/>
      <c r="R16" s="23"/>
      <c r="S16" s="23"/>
    </row>
    <row r="17" spans="1:20" x14ac:dyDescent="0.2">
      <c r="B17" s="14" t="s">
        <v>66</v>
      </c>
      <c r="C17" s="17">
        <f>mulheres!J33</f>
        <v>6550377</v>
      </c>
      <c r="D17" s="17">
        <f>[1]resumo!C16</f>
        <v>786335.76199999999</v>
      </c>
      <c r="E17" s="20">
        <f>mulheres!K33</f>
        <v>0.12509921420061351</v>
      </c>
      <c r="F17" s="20">
        <f>[1]resumo!D16</f>
        <v>0.57380655403358471</v>
      </c>
      <c r="N17" s="16" t="s">
        <v>67</v>
      </c>
      <c r="O17" s="14"/>
      <c r="P17" s="14"/>
      <c r="Q17" s="14"/>
      <c r="R17" s="23"/>
      <c r="S17" s="23"/>
    </row>
    <row r="18" spans="1:20" x14ac:dyDescent="0.2">
      <c r="B18" s="16" t="s">
        <v>67</v>
      </c>
      <c r="C18" s="166"/>
      <c r="D18" s="167"/>
      <c r="E18" s="167"/>
      <c r="F18" s="168"/>
      <c r="N18" s="14" t="s">
        <v>68</v>
      </c>
      <c r="O18" s="19"/>
      <c r="P18" s="19"/>
      <c r="Q18" s="22"/>
      <c r="R18" s="23"/>
      <c r="S18" s="23"/>
    </row>
    <row r="19" spans="1:20" x14ac:dyDescent="0.2">
      <c r="B19" s="14" t="s">
        <v>68</v>
      </c>
      <c r="C19" s="17">
        <f>mulheres!J38</f>
        <v>20873916.099999998</v>
      </c>
      <c r="D19" s="17">
        <f>[1]resumo!C18</f>
        <v>700554.37200000009</v>
      </c>
      <c r="E19" s="20">
        <f>mulheres!K38</f>
        <v>0.39865041377000665</v>
      </c>
      <c r="F19" s="20">
        <f>[1]resumo!D18</f>
        <v>0.51507103591441639</v>
      </c>
      <c r="N19" s="14" t="s">
        <v>69</v>
      </c>
      <c r="O19" s="19"/>
      <c r="P19" s="19"/>
      <c r="Q19" s="22"/>
      <c r="R19" s="23"/>
      <c r="S19" s="23"/>
    </row>
    <row r="20" spans="1:20" x14ac:dyDescent="0.2">
      <c r="B20" s="14" t="s">
        <v>69</v>
      </c>
      <c r="C20" s="17">
        <f>mulheres!J39</f>
        <v>28270122.800000004</v>
      </c>
      <c r="D20" s="17">
        <f>[1]resumo!C19</f>
        <v>610856.01899999997</v>
      </c>
      <c r="E20" s="20">
        <f>mulheres!K39</f>
        <v>0.5399032983345613</v>
      </c>
      <c r="F20" s="20">
        <f>[1]resumo!D19</f>
        <v>0.44912180278404767</v>
      </c>
      <c r="N20" s="14" t="s">
        <v>70</v>
      </c>
      <c r="O20" s="19"/>
      <c r="P20" s="19"/>
      <c r="Q20" s="22"/>
      <c r="R20" s="23"/>
      <c r="S20" s="23"/>
    </row>
    <row r="21" spans="1:20" x14ac:dyDescent="0.2">
      <c r="B21" s="14" t="s">
        <v>70</v>
      </c>
      <c r="C21" s="17">
        <f>mulheres!J40</f>
        <v>2715172.9000000004</v>
      </c>
      <c r="D21" s="17">
        <f>[1]resumo!C20</f>
        <v>48701.755000000005</v>
      </c>
      <c r="E21" s="20">
        <f>mulheres!K40</f>
        <v>5.1854419403463504E-2</v>
      </c>
      <c r="F21" s="20">
        <f>[1]resumo!D20</f>
        <v>3.5807161301535793E-2</v>
      </c>
      <c r="N21" s="8"/>
      <c r="O21" s="8"/>
      <c r="P21" s="8"/>
      <c r="Q21" s="23"/>
      <c r="R21" s="23"/>
    </row>
    <row r="22" spans="1:20" x14ac:dyDescent="0.2">
      <c r="C22" s="8"/>
      <c r="D22" s="8"/>
      <c r="F22" s="8"/>
      <c r="G22" s="8"/>
      <c r="N22" s="14"/>
      <c r="O22" s="24" t="str">
        <f>desejados!C4</f>
        <v>&lt;20</v>
      </c>
      <c r="P22" s="24" t="str">
        <f>desejados!D4</f>
        <v>20-24</v>
      </c>
      <c r="Q22" s="24" t="str">
        <f>desejados!E4</f>
        <v>25-29</v>
      </c>
      <c r="R22" s="24" t="str">
        <f>desejados!F4</f>
        <v>30-34</v>
      </c>
      <c r="S22" s="24" t="str">
        <f>desejados!G4</f>
        <v>35-39</v>
      </c>
      <c r="T22" s="24" t="str">
        <f>desejados!H4</f>
        <v>40-44</v>
      </c>
    </row>
    <row r="23" spans="1:20" ht="51" x14ac:dyDescent="0.2">
      <c r="C23" s="8"/>
      <c r="D23" s="8"/>
      <c r="F23" s="8"/>
      <c r="G23" s="8"/>
      <c r="N23" s="25" t="s">
        <v>71</v>
      </c>
      <c r="O23" s="19">
        <f>desejados!D23</f>
        <v>1.8666803732061252</v>
      </c>
      <c r="P23" s="19">
        <f>desejados!E23</f>
        <v>1.9202250561249037</v>
      </c>
      <c r="Q23" s="19">
        <f>desejados!F23</f>
        <v>2.0861797500603574</v>
      </c>
      <c r="R23" s="19">
        <f>desejados!G23</f>
        <v>2.204097613626042</v>
      </c>
      <c r="S23" s="19">
        <f>desejados!H23</f>
        <v>2.4231514843841939</v>
      </c>
      <c r="T23" s="19">
        <f>desejados!I23</f>
        <v>2.5170011791459777</v>
      </c>
    </row>
    <row r="24" spans="1:20" ht="51" x14ac:dyDescent="0.2">
      <c r="C24" s="8"/>
      <c r="D24" s="8"/>
      <c r="F24" s="8"/>
      <c r="G24" s="8"/>
      <c r="N24" s="25" t="s">
        <v>72</v>
      </c>
      <c r="O24" s="19">
        <f>nascidos!C23</f>
        <v>0.18578847202440402</v>
      </c>
      <c r="P24" s="19">
        <f>nascidos!D23</f>
        <v>0.74276584154069103</v>
      </c>
      <c r="Q24" s="19">
        <f>nascidos!E23</f>
        <v>1.2707499399092248</v>
      </c>
      <c r="R24" s="19">
        <f>nascidos!F23</f>
        <v>1.811645147009548</v>
      </c>
      <c r="S24" s="19">
        <f>nascidos!G23</f>
        <v>2.0568046739771071</v>
      </c>
      <c r="T24" s="19">
        <f>nascidos!H23</f>
        <v>2.3819343759479841</v>
      </c>
    </row>
    <row r="25" spans="1:20" x14ac:dyDescent="0.2">
      <c r="C25" s="8"/>
      <c r="D25" s="8"/>
      <c r="F25" s="8"/>
      <c r="G25" s="8"/>
      <c r="N25" s="14" t="s">
        <v>73</v>
      </c>
      <c r="O25" s="19">
        <f t="shared" ref="O25:T25" si="0">O23-O24</f>
        <v>1.6808919011817212</v>
      </c>
      <c r="P25" s="19">
        <f t="shared" si="0"/>
        <v>1.1774592145842127</v>
      </c>
      <c r="Q25" s="19">
        <f t="shared" si="0"/>
        <v>0.81542981015113258</v>
      </c>
      <c r="R25" s="19">
        <f t="shared" si="0"/>
        <v>0.39245246661649391</v>
      </c>
      <c r="S25" s="19">
        <f t="shared" si="0"/>
        <v>0.36634681040708683</v>
      </c>
      <c r="T25" s="19">
        <f t="shared" si="0"/>
        <v>0.13506680319799358</v>
      </c>
    </row>
    <row r="28" spans="1:20" ht="80" x14ac:dyDescent="0.2">
      <c r="A28" s="30"/>
      <c r="B28" s="26" t="s">
        <v>76</v>
      </c>
      <c r="C28" s="26" t="s">
        <v>77</v>
      </c>
      <c r="D28" s="26" t="s">
        <v>78</v>
      </c>
      <c r="E28" s="26" t="s">
        <v>79</v>
      </c>
      <c r="F28" s="26" t="s">
        <v>80</v>
      </c>
      <c r="G28" s="26" t="s">
        <v>81</v>
      </c>
      <c r="H28" s="26" t="s">
        <v>82</v>
      </c>
      <c r="I28" s="26" t="s">
        <v>83</v>
      </c>
      <c r="J28" s="26" t="s">
        <v>84</v>
      </c>
      <c r="K28" s="26" t="s">
        <v>28</v>
      </c>
    </row>
    <row r="29" spans="1:20" x14ac:dyDescent="0.2">
      <c r="A29" s="169" t="s">
        <v>85</v>
      </c>
      <c r="B29" s="27" t="s">
        <v>86</v>
      </c>
      <c r="C29" s="28">
        <v>13486167.51</v>
      </c>
      <c r="D29" s="28">
        <v>19226004.120000001</v>
      </c>
      <c r="E29" s="28">
        <v>14288390.359999999</v>
      </c>
      <c r="F29" s="28">
        <v>706341.84</v>
      </c>
      <c r="G29" s="28">
        <v>3893958.96</v>
      </c>
      <c r="H29" s="28">
        <v>103432.86</v>
      </c>
      <c r="I29" s="28">
        <v>610026.44999999995</v>
      </c>
      <c r="J29" s="28">
        <v>47134.02</v>
      </c>
      <c r="K29" s="28">
        <f>SUM(C29:J29)</f>
        <v>52361456.120000012</v>
      </c>
    </row>
    <row r="30" spans="1:20" x14ac:dyDescent="0.2">
      <c r="A30" s="169"/>
      <c r="B30" s="14" t="s">
        <v>87</v>
      </c>
      <c r="C30" s="28">
        <f>[1]descritiva!E14</f>
        <v>316287.43599999999</v>
      </c>
      <c r="D30" s="28">
        <f>[1]descritiva!F14</f>
        <v>604590.04</v>
      </c>
      <c r="E30" s="28">
        <f>[1]descritiva!G14</f>
        <v>233160.54199999999</v>
      </c>
      <c r="F30" s="28">
        <f>[1]descritiva!H14</f>
        <v>28820.760999999999</v>
      </c>
      <c r="G30" s="28">
        <f>[1]descritiva!I14</f>
        <v>128289.575</v>
      </c>
      <c r="H30" s="28">
        <f>[1]descritiva!J14</f>
        <v>2630.9969999999998</v>
      </c>
      <c r="I30" s="28">
        <f>[1]descritiva!K14</f>
        <v>57092.682999999997</v>
      </c>
      <c r="J30" s="28">
        <f>[1]descritiva!L14</f>
        <v>0</v>
      </c>
      <c r="K30" s="28">
        <f>[1]descritiva!M14</f>
        <v>1370872.0339999998</v>
      </c>
    </row>
    <row r="31" spans="1:20" x14ac:dyDescent="0.2">
      <c r="A31" s="169" t="s">
        <v>48</v>
      </c>
      <c r="B31" s="27" t="s">
        <v>86</v>
      </c>
      <c r="C31" s="20">
        <f t="shared" ref="C31:K31" si="1">C29/SUM($C$29:$J$29)</f>
        <v>0.25755906174749821</v>
      </c>
      <c r="D31" s="20">
        <f t="shared" si="1"/>
        <v>0.3671785611908609</v>
      </c>
      <c r="E31" s="20">
        <f t="shared" si="1"/>
        <v>0.27287992769441716</v>
      </c>
      <c r="F31" s="20">
        <f t="shared" si="1"/>
        <v>1.3489728749735919E-2</v>
      </c>
      <c r="G31" s="20">
        <f t="shared" si="1"/>
        <v>7.436689596782739E-2</v>
      </c>
      <c r="H31" s="20">
        <f t="shared" si="1"/>
        <v>1.9753625598752729E-3</v>
      </c>
      <c r="I31" s="20">
        <f t="shared" si="1"/>
        <v>1.1650295755755232E-2</v>
      </c>
      <c r="J31" s="20">
        <f t="shared" si="1"/>
        <v>9.0016633402974938E-4</v>
      </c>
      <c r="K31" s="29">
        <f t="shared" si="1"/>
        <v>1</v>
      </c>
    </row>
    <row r="32" spans="1:20" x14ac:dyDescent="0.2">
      <c r="A32" s="169"/>
      <c r="B32" s="14" t="s">
        <v>87</v>
      </c>
      <c r="C32" s="20">
        <f>[1]descritiva!E15</f>
        <v>0.23071988351612988</v>
      </c>
      <c r="D32" s="20">
        <f>[1]descritiva!F15</f>
        <v>0.4410258762343387</v>
      </c>
      <c r="E32" s="20">
        <f>[1]descritiva!G15</f>
        <v>0.17008191590258967</v>
      </c>
      <c r="F32" s="20">
        <f>[1]descritiva!H15</f>
        <v>2.102366981395435E-2</v>
      </c>
      <c r="G32" s="20">
        <f>[1]descritiva!I15</f>
        <v>9.3582458331774546E-2</v>
      </c>
      <c r="H32" s="20">
        <f>[1]descritiva!J15</f>
        <v>1.9192141459937319E-3</v>
      </c>
      <c r="I32" s="20">
        <f>[1]descritiva!K15</f>
        <v>4.1646982055219321E-2</v>
      </c>
      <c r="J32" s="20">
        <f>[1]descritiva!L15</f>
        <v>0</v>
      </c>
      <c r="K32" s="29">
        <f>[1]descritiva!M15</f>
        <v>1</v>
      </c>
    </row>
  </sheetData>
  <mergeCells count="9">
    <mergeCell ref="C18:F18"/>
    <mergeCell ref="A29:A30"/>
    <mergeCell ref="A31:A32"/>
    <mergeCell ref="C2:D2"/>
    <mergeCell ref="E2:F2"/>
    <mergeCell ref="B2:B3"/>
    <mergeCell ref="C5:F5"/>
    <mergeCell ref="C8:F8"/>
    <mergeCell ref="C14:F14"/>
  </mergeCells>
  <conditionalFormatting sqref="C31:J32">
    <cfRule type="colorScale" priority="1">
      <colorScale>
        <cfvo type="min"/>
        <cfvo type="max"/>
        <color rgb="FFFFEF9C"/>
        <color rgb="FF63BE7B"/>
      </colorScale>
    </cfRule>
  </conditionalFormatting>
  <conditionalFormatting sqref="E6:F7">
    <cfRule type="colorScale" priority="5">
      <colorScale>
        <cfvo type="min"/>
        <cfvo type="max"/>
        <color rgb="FFFFEF9C"/>
        <color rgb="FF63BE7B"/>
      </colorScale>
    </cfRule>
  </conditionalFormatting>
  <conditionalFormatting sqref="E9:F13">
    <cfRule type="colorScale" priority="4">
      <colorScale>
        <cfvo type="min"/>
        <cfvo type="max"/>
        <color rgb="FFFFEF9C"/>
        <color rgb="FF63BE7B"/>
      </colorScale>
    </cfRule>
  </conditionalFormatting>
  <conditionalFormatting sqref="E15:F17">
    <cfRule type="colorScale" priority="3">
      <colorScale>
        <cfvo type="min"/>
        <cfvo type="max"/>
        <color rgb="FFFFEF9C"/>
        <color rgb="FF63BE7B"/>
      </colorScale>
    </cfRule>
  </conditionalFormatting>
  <conditionalFormatting sqref="E19:F21">
    <cfRule type="colorScale" priority="2">
      <colorScale>
        <cfvo type="min"/>
        <cfvo type="max"/>
        <color rgb="FFFFEF9C"/>
        <color rgb="FF63BE7B"/>
      </colorScale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2DA258-697D-ED4C-B0C1-77651FA87773}">
  <dimension ref="A3:U33"/>
  <sheetViews>
    <sheetView showGridLines="0" workbookViewId="0">
      <selection activeCell="A12" sqref="A12:E17"/>
    </sheetView>
  </sheetViews>
  <sheetFormatPr baseColWidth="10" defaultRowHeight="16" x14ac:dyDescent="0.2"/>
  <cols>
    <col min="2" max="3" width="0" hidden="1" customWidth="1"/>
    <col min="8" max="9" width="0" hidden="1" customWidth="1"/>
  </cols>
  <sheetData>
    <row r="3" spans="1:21" x14ac:dyDescent="0.2">
      <c r="A3" s="179" t="s">
        <v>277</v>
      </c>
      <c r="B3" s="179"/>
      <c r="C3" s="179"/>
      <c r="D3" s="179"/>
      <c r="E3" s="179"/>
      <c r="F3" s="179"/>
      <c r="G3" s="179"/>
      <c r="H3" s="179"/>
      <c r="I3" s="179"/>
    </row>
    <row r="4" spans="1:21" x14ac:dyDescent="0.2">
      <c r="A4" s="30"/>
      <c r="B4" s="181" t="s">
        <v>86</v>
      </c>
      <c r="C4" s="181"/>
      <c r="D4" s="181" t="s">
        <v>276</v>
      </c>
      <c r="E4" s="181"/>
      <c r="F4" s="181" t="s">
        <v>274</v>
      </c>
      <c r="G4" s="181"/>
      <c r="H4" s="181" t="s">
        <v>275</v>
      </c>
      <c r="I4" s="181"/>
    </row>
    <row r="5" spans="1:21" ht="17" x14ac:dyDescent="0.2">
      <c r="A5" s="35" t="s">
        <v>237</v>
      </c>
      <c r="B5" s="35" t="s">
        <v>273</v>
      </c>
      <c r="C5" s="35" t="s">
        <v>279</v>
      </c>
      <c r="D5" s="35" t="s">
        <v>273</v>
      </c>
      <c r="E5" s="35" t="s">
        <v>279</v>
      </c>
      <c r="F5" s="35" t="s">
        <v>273</v>
      </c>
      <c r="G5" s="35" t="s">
        <v>279</v>
      </c>
      <c r="H5" s="35" t="s">
        <v>273</v>
      </c>
      <c r="I5" s="35" t="s">
        <v>279</v>
      </c>
    </row>
    <row r="6" spans="1:21" x14ac:dyDescent="0.2">
      <c r="A6" s="36" t="s">
        <v>269</v>
      </c>
      <c r="B6" s="123">
        <v>0.86599999999999999</v>
      </c>
      <c r="C6" s="123">
        <v>0.92100000000000004</v>
      </c>
      <c r="D6" s="123">
        <v>0.65200000000000002</v>
      </c>
      <c r="E6" s="123">
        <v>0.89800000000000002</v>
      </c>
      <c r="F6" s="123">
        <v>0.85099999999999998</v>
      </c>
      <c r="G6" s="123">
        <v>0.879</v>
      </c>
      <c r="H6" s="123">
        <v>0.87</v>
      </c>
      <c r="I6" s="123">
        <v>0.92700000000000005</v>
      </c>
    </row>
    <row r="7" spans="1:21" x14ac:dyDescent="0.2">
      <c r="A7" s="36" t="s">
        <v>270</v>
      </c>
      <c r="B7" s="123">
        <v>0.83499999999999996</v>
      </c>
      <c r="C7" s="123">
        <v>0.85099999999999998</v>
      </c>
      <c r="D7" s="123">
        <v>0.60899999999999999</v>
      </c>
      <c r="E7" s="123">
        <v>0.81399999999999995</v>
      </c>
      <c r="F7" s="123">
        <v>0.82499999999999996</v>
      </c>
      <c r="G7" s="123">
        <v>0.871</v>
      </c>
      <c r="H7" s="123">
        <v>0.82799999999999996</v>
      </c>
      <c r="I7" s="123">
        <v>0.85899999999999999</v>
      </c>
    </row>
    <row r="8" spans="1:21" x14ac:dyDescent="0.2">
      <c r="A8" s="36" t="s">
        <v>271</v>
      </c>
      <c r="B8" s="123">
        <v>0.60199999999999998</v>
      </c>
      <c r="C8" s="123">
        <v>0.46100000000000002</v>
      </c>
      <c r="D8" s="123">
        <v>0.44500000000000001</v>
      </c>
      <c r="E8" s="123">
        <v>0.33300000000000002</v>
      </c>
      <c r="F8" s="123">
        <v>0.502</v>
      </c>
      <c r="G8" s="123">
        <v>0.34499999999999997</v>
      </c>
      <c r="H8" s="123">
        <v>0.67200000000000004</v>
      </c>
      <c r="I8" s="123">
        <v>0.52500000000000002</v>
      </c>
    </row>
    <row r="9" spans="1:21" x14ac:dyDescent="0.2">
      <c r="A9" s="36" t="s">
        <v>272</v>
      </c>
      <c r="B9" s="123">
        <v>0.55700000000000005</v>
      </c>
      <c r="C9" s="123">
        <v>0.51500000000000001</v>
      </c>
      <c r="D9" s="123">
        <v>0.46700000000000003</v>
      </c>
      <c r="E9" s="123">
        <v>0.39</v>
      </c>
      <c r="F9" s="123">
        <v>0.41699999999999998</v>
      </c>
      <c r="G9" s="123">
        <v>0.42699999999999999</v>
      </c>
      <c r="H9" s="123">
        <v>0.59799999999999998</v>
      </c>
      <c r="I9" s="123">
        <v>0.53</v>
      </c>
      <c r="M9" s="122"/>
      <c r="N9" s="122"/>
      <c r="O9" s="122"/>
      <c r="P9" s="122"/>
      <c r="Q9" s="122"/>
      <c r="R9" s="122"/>
      <c r="S9" s="122"/>
      <c r="T9" s="122"/>
      <c r="U9" s="122"/>
    </row>
    <row r="10" spans="1:21" x14ac:dyDescent="0.2">
      <c r="A10" s="124"/>
      <c r="B10" s="124"/>
      <c r="C10" s="124"/>
      <c r="D10" s="124"/>
      <c r="E10" s="124"/>
      <c r="F10" s="124"/>
      <c r="G10" s="124"/>
      <c r="H10" s="124"/>
      <c r="I10" s="124"/>
      <c r="M10" s="122"/>
    </row>
    <row r="11" spans="1:21" x14ac:dyDescent="0.2">
      <c r="A11" s="180" t="s">
        <v>278</v>
      </c>
      <c r="B11" s="180"/>
      <c r="C11" s="180"/>
      <c r="D11" s="180"/>
      <c r="E11" s="180"/>
      <c r="F11" s="180"/>
      <c r="G11" s="180"/>
      <c r="H11" s="180"/>
      <c r="I11" s="180"/>
      <c r="L11" s="122"/>
      <c r="M11" s="122"/>
      <c r="N11" s="122"/>
      <c r="O11" s="122"/>
      <c r="P11" s="122"/>
      <c r="Q11" s="122"/>
      <c r="R11" s="122"/>
      <c r="S11" s="122"/>
      <c r="T11" s="122"/>
    </row>
    <row r="12" spans="1:21" x14ac:dyDescent="0.2">
      <c r="A12" s="30"/>
      <c r="B12" s="181" t="s">
        <v>86</v>
      </c>
      <c r="C12" s="181"/>
      <c r="D12" s="181" t="s">
        <v>276</v>
      </c>
      <c r="E12" s="181"/>
      <c r="F12" s="181" t="s">
        <v>274</v>
      </c>
      <c r="G12" s="181"/>
      <c r="H12" s="181" t="s">
        <v>275</v>
      </c>
      <c r="I12" s="181"/>
      <c r="L12" s="122"/>
    </row>
    <row r="13" spans="1:21" ht="17" x14ac:dyDescent="0.2">
      <c r="A13" s="35" t="s">
        <v>237</v>
      </c>
      <c r="B13" s="35" t="s">
        <v>273</v>
      </c>
      <c r="C13" s="35" t="s">
        <v>279</v>
      </c>
      <c r="D13" s="35" t="s">
        <v>273</v>
      </c>
      <c r="E13" s="35" t="s">
        <v>279</v>
      </c>
      <c r="F13" s="35" t="s">
        <v>273</v>
      </c>
      <c r="G13" s="35" t="s">
        <v>279</v>
      </c>
      <c r="H13" s="35" t="s">
        <v>273</v>
      </c>
      <c r="I13" s="35" t="s">
        <v>279</v>
      </c>
      <c r="L13" s="122"/>
    </row>
    <row r="14" spans="1:21" x14ac:dyDescent="0.2">
      <c r="A14" s="36" t="s">
        <v>269</v>
      </c>
      <c r="B14" s="123">
        <v>0.88600000000000001</v>
      </c>
      <c r="C14" s="123">
        <v>0.93200000000000005</v>
      </c>
      <c r="D14" s="123">
        <v>0.72399999999999998</v>
      </c>
      <c r="E14" s="123">
        <v>0.92400000000000004</v>
      </c>
      <c r="F14" s="123">
        <v>0.86499999999999999</v>
      </c>
      <c r="G14" s="123">
        <v>0.91100000000000003</v>
      </c>
      <c r="H14" s="123">
        <v>0.89</v>
      </c>
      <c r="I14" s="123">
        <v>0.93300000000000005</v>
      </c>
      <c r="L14" s="122"/>
    </row>
    <row r="15" spans="1:21" x14ac:dyDescent="0.2">
      <c r="A15" s="36" t="s">
        <v>270</v>
      </c>
      <c r="B15" s="123">
        <v>0.81399999999999995</v>
      </c>
      <c r="C15" s="123">
        <v>0.85699999999999998</v>
      </c>
      <c r="D15" s="123">
        <v>0.74</v>
      </c>
      <c r="E15" s="123">
        <v>0.85699999999999998</v>
      </c>
      <c r="F15" s="123">
        <v>0.748</v>
      </c>
      <c r="G15" s="123">
        <v>0.84899999999999998</v>
      </c>
      <c r="H15" s="123">
        <v>0.84199999999999997</v>
      </c>
      <c r="I15" s="123">
        <v>0.86299999999999999</v>
      </c>
      <c r="L15" s="122"/>
    </row>
    <row r="16" spans="1:21" x14ac:dyDescent="0.2">
      <c r="A16" s="36" t="s">
        <v>271</v>
      </c>
      <c r="B16" s="123">
        <v>0.55700000000000005</v>
      </c>
      <c r="C16" s="123">
        <v>0.44700000000000001</v>
      </c>
      <c r="D16" s="123">
        <v>0.34799999999999998</v>
      </c>
      <c r="E16" s="123">
        <v>0.35899999999999999</v>
      </c>
      <c r="F16" s="123">
        <v>0.46</v>
      </c>
      <c r="G16" s="123">
        <v>0.39200000000000002</v>
      </c>
      <c r="H16" s="123">
        <v>0.60899999999999999</v>
      </c>
      <c r="I16" s="123">
        <v>0.47599999999999998</v>
      </c>
    </row>
    <row r="17" spans="1:19" x14ac:dyDescent="0.2">
      <c r="A17" s="36" t="s">
        <v>272</v>
      </c>
      <c r="B17" s="123">
        <v>0.505</v>
      </c>
      <c r="C17" s="123">
        <v>0.47899999999999998</v>
      </c>
      <c r="D17" s="123">
        <v>0.34399999999999997</v>
      </c>
      <c r="E17" s="123">
        <v>0.45500000000000002</v>
      </c>
      <c r="F17" s="123">
        <v>0.372</v>
      </c>
      <c r="G17" s="123">
        <v>0.436</v>
      </c>
      <c r="H17" s="123">
        <v>0.51</v>
      </c>
      <c r="I17" s="123">
        <v>0.48299999999999998</v>
      </c>
    </row>
    <row r="18" spans="1:19" x14ac:dyDescent="0.2">
      <c r="A18" s="124"/>
      <c r="B18" s="124"/>
      <c r="C18" s="124"/>
      <c r="D18" s="124"/>
      <c r="E18" s="124"/>
      <c r="F18" s="124"/>
      <c r="G18" s="124"/>
      <c r="H18" s="124"/>
      <c r="I18" s="124"/>
    </row>
    <row r="19" spans="1:19" x14ac:dyDescent="0.2">
      <c r="A19" s="182" t="s">
        <v>280</v>
      </c>
      <c r="B19" s="182"/>
      <c r="C19" s="182"/>
      <c r="D19" s="182"/>
      <c r="E19" s="182"/>
      <c r="F19" s="182"/>
      <c r="G19" s="182"/>
      <c r="H19" s="182"/>
      <c r="I19" s="182"/>
    </row>
    <row r="20" spans="1:19" x14ac:dyDescent="0.2">
      <c r="A20" s="30"/>
      <c r="B20" s="181" t="s">
        <v>86</v>
      </c>
      <c r="C20" s="181"/>
      <c r="D20" s="181" t="s">
        <v>276</v>
      </c>
      <c r="E20" s="181"/>
      <c r="F20" s="181" t="s">
        <v>274</v>
      </c>
      <c r="G20" s="181"/>
      <c r="H20" s="181" t="s">
        <v>275</v>
      </c>
      <c r="I20" s="181"/>
      <c r="K20" s="122"/>
      <c r="L20" s="122"/>
      <c r="M20" s="122"/>
      <c r="N20" s="122"/>
      <c r="O20" s="122"/>
      <c r="P20" s="122"/>
      <c r="Q20" s="122"/>
      <c r="R20" s="122"/>
      <c r="S20" s="122"/>
    </row>
    <row r="21" spans="1:19" ht="17" x14ac:dyDescent="0.2">
      <c r="A21" s="35" t="s">
        <v>237</v>
      </c>
      <c r="B21" s="35" t="s">
        <v>273</v>
      </c>
      <c r="C21" s="35" t="s">
        <v>279</v>
      </c>
      <c r="D21" s="35" t="s">
        <v>273</v>
      </c>
      <c r="E21" s="35" t="s">
        <v>279</v>
      </c>
      <c r="F21" s="35" t="s">
        <v>273</v>
      </c>
      <c r="G21" s="35" t="s">
        <v>279</v>
      </c>
      <c r="H21" s="35" t="s">
        <v>273</v>
      </c>
      <c r="I21" s="35" t="s">
        <v>279</v>
      </c>
      <c r="K21" s="122"/>
    </row>
    <row r="22" spans="1:19" x14ac:dyDescent="0.2">
      <c r="A22" s="36" t="s">
        <v>269</v>
      </c>
      <c r="B22" s="123">
        <v>0.879</v>
      </c>
      <c r="C22" s="123">
        <v>0.93100000000000005</v>
      </c>
      <c r="D22" s="123">
        <v>0.71799999999999997</v>
      </c>
      <c r="E22" s="123">
        <v>0.91500000000000004</v>
      </c>
      <c r="F22" s="123">
        <v>0.83099999999999996</v>
      </c>
      <c r="G22" s="123">
        <v>0.92200000000000004</v>
      </c>
      <c r="H22" s="123">
        <v>0.89500000000000002</v>
      </c>
      <c r="I22" s="123">
        <v>0.92800000000000005</v>
      </c>
      <c r="K22" s="122"/>
    </row>
    <row r="23" spans="1:19" x14ac:dyDescent="0.2">
      <c r="A23" s="36" t="s">
        <v>270</v>
      </c>
      <c r="B23" s="123">
        <v>0.78800000000000003</v>
      </c>
      <c r="C23" s="123">
        <v>0.85299999999999998</v>
      </c>
      <c r="D23" s="123">
        <v>0.68600000000000005</v>
      </c>
      <c r="E23" s="123">
        <v>0.83099999999999996</v>
      </c>
      <c r="F23" s="123">
        <v>0.72799999999999998</v>
      </c>
      <c r="G23" s="123">
        <v>0.85</v>
      </c>
      <c r="H23" s="123">
        <v>0.81200000000000006</v>
      </c>
      <c r="I23" s="123">
        <v>0.86099999999999999</v>
      </c>
      <c r="K23" s="122"/>
    </row>
    <row r="24" spans="1:19" x14ac:dyDescent="0.2">
      <c r="A24" s="36" t="s">
        <v>271</v>
      </c>
      <c r="B24" s="123">
        <v>0.53</v>
      </c>
      <c r="C24" s="123">
        <v>0.42099999999999999</v>
      </c>
      <c r="D24" s="123">
        <v>0.36099999999999999</v>
      </c>
      <c r="E24" s="123">
        <v>0.36799999999999999</v>
      </c>
      <c r="F24" s="123">
        <v>0.42299999999999999</v>
      </c>
      <c r="G24" s="123">
        <v>0.34399999999999997</v>
      </c>
      <c r="H24" s="123">
        <v>0.56399999999999995</v>
      </c>
      <c r="I24" s="123">
        <v>0.441</v>
      </c>
      <c r="K24" s="122"/>
    </row>
    <row r="25" spans="1:19" x14ac:dyDescent="0.2">
      <c r="A25" s="36" t="s">
        <v>272</v>
      </c>
      <c r="B25" s="123">
        <v>0.48499999999999999</v>
      </c>
      <c r="C25" s="123">
        <v>0.44400000000000001</v>
      </c>
      <c r="D25" s="123">
        <v>0.318</v>
      </c>
      <c r="E25" s="123">
        <v>0.378</v>
      </c>
      <c r="F25" s="123">
        <v>0.36599999999999999</v>
      </c>
      <c r="G25" s="123">
        <v>0.42</v>
      </c>
      <c r="H25" s="123">
        <v>0.48899999999999999</v>
      </c>
      <c r="I25" s="123">
        <v>0.436</v>
      </c>
    </row>
    <row r="26" spans="1:19" x14ac:dyDescent="0.2">
      <c r="D26" s="119"/>
    </row>
    <row r="27" spans="1:19" ht="51" x14ac:dyDescent="0.2">
      <c r="B27" s="31" t="s">
        <v>86</v>
      </c>
      <c r="C27" s="31" t="s">
        <v>276</v>
      </c>
      <c r="D27" s="31" t="s">
        <v>274</v>
      </c>
      <c r="E27" s="31" t="s">
        <v>275</v>
      </c>
    </row>
    <row r="28" spans="1:19" x14ac:dyDescent="0.2">
      <c r="B28" s="121">
        <f>C14-B14</f>
        <v>4.6000000000000041E-2</v>
      </c>
      <c r="C28" s="121">
        <f>E14-D14</f>
        <v>0.20000000000000007</v>
      </c>
      <c r="D28" s="121">
        <f>G14-F14</f>
        <v>4.6000000000000041E-2</v>
      </c>
      <c r="E28" s="121">
        <f>I14-H14</f>
        <v>4.3000000000000038E-2</v>
      </c>
    </row>
    <row r="29" spans="1:19" x14ac:dyDescent="0.2">
      <c r="B29" s="121">
        <f>C15-B15</f>
        <v>4.3000000000000038E-2</v>
      </c>
      <c r="C29" s="121">
        <f>E15-D15</f>
        <v>0.11699999999999999</v>
      </c>
      <c r="D29" s="121">
        <f>G15-F15</f>
        <v>0.10099999999999998</v>
      </c>
      <c r="E29" s="121">
        <f>I15-H15</f>
        <v>2.1000000000000019E-2</v>
      </c>
    </row>
    <row r="30" spans="1:19" x14ac:dyDescent="0.2">
      <c r="B30" s="121">
        <f>C16-B16</f>
        <v>-0.11000000000000004</v>
      </c>
      <c r="C30" s="121">
        <f>E16-D16</f>
        <v>1.100000000000001E-2</v>
      </c>
      <c r="D30" s="121">
        <f>G16-F16</f>
        <v>-6.8000000000000005E-2</v>
      </c>
      <c r="E30" s="121">
        <f>I16-H16</f>
        <v>-0.13300000000000001</v>
      </c>
    </row>
    <row r="31" spans="1:19" x14ac:dyDescent="0.2">
      <c r="B31" s="121">
        <f>C17-B17</f>
        <v>-2.6000000000000023E-2</v>
      </c>
      <c r="C31" s="121">
        <f>E17-D17</f>
        <v>0.11100000000000004</v>
      </c>
      <c r="D31" s="121">
        <f>G17-F17</f>
        <v>6.4000000000000001E-2</v>
      </c>
      <c r="E31" s="121">
        <f>I17-H17</f>
        <v>-2.7000000000000024E-2</v>
      </c>
    </row>
    <row r="32" spans="1:19" x14ac:dyDescent="0.2">
      <c r="D32" s="119"/>
    </row>
    <row r="33" spans="4:4" x14ac:dyDescent="0.2">
      <c r="D33" s="119"/>
    </row>
  </sheetData>
  <mergeCells count="15">
    <mergeCell ref="A3:I3"/>
    <mergeCell ref="A11:I11"/>
    <mergeCell ref="B20:C20"/>
    <mergeCell ref="D20:E20"/>
    <mergeCell ref="F20:G20"/>
    <mergeCell ref="H20:I20"/>
    <mergeCell ref="B4:C4"/>
    <mergeCell ref="D4:E4"/>
    <mergeCell ref="F4:G4"/>
    <mergeCell ref="H4:I4"/>
    <mergeCell ref="B12:C12"/>
    <mergeCell ref="D12:E12"/>
    <mergeCell ref="F12:G12"/>
    <mergeCell ref="H12:I12"/>
    <mergeCell ref="A19:I19"/>
  </mergeCells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A9A725-ED30-3C4B-B764-58EF0FEB1B31}">
  <dimension ref="A1:Q42"/>
  <sheetViews>
    <sheetView topLeftCell="A15" zoomScale="125" workbookViewId="0">
      <selection activeCell="A16" sqref="A16:F42"/>
    </sheetView>
  </sheetViews>
  <sheetFormatPr baseColWidth="10" defaultRowHeight="16" x14ac:dyDescent="0.2"/>
  <cols>
    <col min="1" max="1" width="29" customWidth="1"/>
    <col min="2" max="4" width="11" hidden="1" customWidth="1"/>
    <col min="5" max="5" width="11" customWidth="1"/>
    <col min="8" max="8" width="27.6640625" bestFit="1" customWidth="1"/>
    <col min="9" max="11" width="11.1640625" hidden="1" customWidth="1"/>
    <col min="12" max="12" width="11.1640625" customWidth="1"/>
    <col min="14" max="14" width="22.5" customWidth="1"/>
    <col min="15" max="17" width="20.33203125" customWidth="1"/>
    <col min="18" max="18" width="11" bestFit="1" customWidth="1"/>
    <col min="19" max="19" width="11.83203125" bestFit="1" customWidth="1"/>
  </cols>
  <sheetData>
    <row r="1" spans="1:5" ht="51" hidden="1" x14ac:dyDescent="0.2">
      <c r="A1" s="34" t="s">
        <v>94</v>
      </c>
      <c r="B1" s="35" t="s">
        <v>95</v>
      </c>
      <c r="C1" s="35" t="s">
        <v>130</v>
      </c>
      <c r="D1" s="35" t="s">
        <v>131</v>
      </c>
      <c r="E1" s="35" t="s">
        <v>96</v>
      </c>
    </row>
    <row r="2" spans="1:5" hidden="1" x14ac:dyDescent="0.2">
      <c r="A2" s="36" t="s">
        <v>97</v>
      </c>
      <c r="B2" s="183"/>
      <c r="C2" s="184"/>
      <c r="D2" s="184"/>
      <c r="E2" s="185"/>
    </row>
    <row r="3" spans="1:5" hidden="1" x14ac:dyDescent="0.2">
      <c r="A3" s="14" t="s">
        <v>98</v>
      </c>
      <c r="B3" s="37">
        <v>16.100000000000001</v>
      </c>
      <c r="C3" s="37">
        <v>5.4</v>
      </c>
      <c r="D3" s="37">
        <v>14.5</v>
      </c>
      <c r="E3" s="37">
        <v>0.6</v>
      </c>
    </row>
    <row r="4" spans="1:5" hidden="1" x14ac:dyDescent="0.2">
      <c r="A4" s="14" t="s">
        <v>99</v>
      </c>
      <c r="B4" s="37">
        <v>16.5</v>
      </c>
      <c r="C4" s="37">
        <v>17.899999999999999</v>
      </c>
      <c r="D4" s="37">
        <v>16.399999999999999</v>
      </c>
      <c r="E4" s="37">
        <v>5.7</v>
      </c>
    </row>
    <row r="5" spans="1:5" hidden="1" x14ac:dyDescent="0.2">
      <c r="A5" s="14" t="s">
        <v>100</v>
      </c>
      <c r="B5" s="37">
        <v>15.3</v>
      </c>
      <c r="C5" s="37">
        <v>19.8</v>
      </c>
      <c r="D5" s="37">
        <v>15.5</v>
      </c>
      <c r="E5" s="37">
        <v>9.9</v>
      </c>
    </row>
    <row r="6" spans="1:5" hidden="1" x14ac:dyDescent="0.2">
      <c r="A6" s="14" t="s">
        <v>101</v>
      </c>
      <c r="B6" s="37">
        <v>13.9</v>
      </c>
      <c r="C6" s="37">
        <v>15.6</v>
      </c>
      <c r="D6" s="37">
        <v>14.5</v>
      </c>
      <c r="E6" s="37">
        <v>14.9</v>
      </c>
    </row>
    <row r="7" spans="1:5" hidden="1" x14ac:dyDescent="0.2">
      <c r="A7" s="14" t="s">
        <v>102</v>
      </c>
      <c r="B7" s="37">
        <v>13.6</v>
      </c>
      <c r="C7" s="37">
        <v>15.7</v>
      </c>
      <c r="D7" s="37">
        <v>14.5</v>
      </c>
      <c r="E7" s="37">
        <v>18.2</v>
      </c>
    </row>
    <row r="8" spans="1:5" hidden="1" x14ac:dyDescent="0.2">
      <c r="A8" s="14" t="s">
        <v>103</v>
      </c>
      <c r="B8" s="37">
        <v>13.3</v>
      </c>
      <c r="C8" s="37">
        <v>14.1</v>
      </c>
      <c r="D8" s="37">
        <v>13.6</v>
      </c>
      <c r="E8" s="37">
        <v>25.8</v>
      </c>
    </row>
    <row r="9" spans="1:5" hidden="1" x14ac:dyDescent="0.2">
      <c r="A9" s="14" t="s">
        <v>104</v>
      </c>
      <c r="B9" s="37">
        <v>11.3</v>
      </c>
      <c r="C9" s="37">
        <v>11.4</v>
      </c>
      <c r="D9" s="37">
        <v>10.9</v>
      </c>
      <c r="E9" s="37">
        <v>25</v>
      </c>
    </row>
    <row r="10" spans="1:5" hidden="1" x14ac:dyDescent="0.2">
      <c r="A10" s="14"/>
      <c r="B10" s="141"/>
      <c r="C10" s="142"/>
      <c r="D10" s="142"/>
      <c r="E10" s="143"/>
    </row>
    <row r="11" spans="1:5" hidden="1" x14ac:dyDescent="0.2">
      <c r="A11" s="14"/>
      <c r="B11" s="141"/>
      <c r="C11" s="142"/>
      <c r="D11" s="142"/>
      <c r="E11" s="143"/>
    </row>
    <row r="12" spans="1:5" hidden="1" x14ac:dyDescent="0.2">
      <c r="A12" s="14"/>
      <c r="B12" s="141"/>
      <c r="C12" s="142"/>
      <c r="D12" s="142"/>
      <c r="E12" s="143"/>
    </row>
    <row r="13" spans="1:5" hidden="1" x14ac:dyDescent="0.2">
      <c r="A13" s="14"/>
      <c r="B13" s="141"/>
      <c r="C13" s="142"/>
      <c r="D13" s="142"/>
      <c r="E13" s="143"/>
    </row>
    <row r="14" spans="1:5" hidden="1" x14ac:dyDescent="0.2"/>
    <row r="16" spans="1:5" ht="51" x14ac:dyDescent="0.2">
      <c r="A16" s="34" t="s">
        <v>94</v>
      </c>
      <c r="B16" s="35" t="s">
        <v>95</v>
      </c>
      <c r="C16" s="35" t="s">
        <v>130</v>
      </c>
      <c r="D16" s="35" t="s">
        <v>131</v>
      </c>
      <c r="E16" s="35" t="s">
        <v>96</v>
      </c>
    </row>
    <row r="17" spans="1:17" ht="34" customHeight="1" x14ac:dyDescent="0.2">
      <c r="A17" s="36" t="s">
        <v>97</v>
      </c>
      <c r="B17" s="183"/>
      <c r="C17" s="184"/>
      <c r="D17" s="184"/>
      <c r="E17" s="185"/>
    </row>
    <row r="18" spans="1:17" x14ac:dyDescent="0.2">
      <c r="A18" s="14" t="s">
        <v>366</v>
      </c>
      <c r="B18" s="37">
        <v>47.9</v>
      </c>
      <c r="C18" s="37">
        <v>16.2</v>
      </c>
      <c r="D18" s="37">
        <v>43.2</v>
      </c>
      <c r="E18" s="37">
        <v>16.2</v>
      </c>
      <c r="F18">
        <v>222175</v>
      </c>
      <c r="G18">
        <f>F18/SUM(F18:F20)</f>
        <v>0.16206837691629852</v>
      </c>
    </row>
    <row r="19" spans="1:17" x14ac:dyDescent="0.2">
      <c r="A19" s="14" t="s">
        <v>232</v>
      </c>
      <c r="B19" s="37">
        <v>27.5</v>
      </c>
      <c r="C19" s="37">
        <v>33</v>
      </c>
      <c r="D19" s="37">
        <v>31.3</v>
      </c>
      <c r="E19" s="37">
        <v>33</v>
      </c>
      <c r="F19">
        <v>452948</v>
      </c>
      <c r="G19">
        <f>F19/SUM(F18:F20)</f>
        <v>0.33040867418694086</v>
      </c>
    </row>
    <row r="20" spans="1:17" x14ac:dyDescent="0.2">
      <c r="A20" s="14" t="s">
        <v>194</v>
      </c>
      <c r="B20" s="37">
        <v>24.6</v>
      </c>
      <c r="C20" s="37">
        <v>50.8</v>
      </c>
      <c r="D20" s="37">
        <v>25.4</v>
      </c>
      <c r="E20" s="37">
        <v>50.8</v>
      </c>
      <c r="F20">
        <v>695749</v>
      </c>
      <c r="G20">
        <f>F20/SUM(F18:F20)</f>
        <v>0.50752294889676064</v>
      </c>
    </row>
    <row r="21" spans="1:17" ht="34" x14ac:dyDescent="0.2">
      <c r="A21" s="38" t="s">
        <v>105</v>
      </c>
      <c r="B21" s="183"/>
      <c r="C21" s="184"/>
      <c r="D21" s="184"/>
      <c r="E21" s="185"/>
    </row>
    <row r="22" spans="1:17" x14ac:dyDescent="0.2">
      <c r="A22" s="14" t="s">
        <v>106</v>
      </c>
      <c r="B22" s="37">
        <v>36.4</v>
      </c>
      <c r="C22" s="37">
        <v>20.399999999999999</v>
      </c>
      <c r="D22" s="37">
        <v>40.1</v>
      </c>
      <c r="E22" s="37">
        <v>9</v>
      </c>
      <c r="F22">
        <v>122901</v>
      </c>
    </row>
    <row r="23" spans="1:17" ht="16" customHeight="1" x14ac:dyDescent="0.2">
      <c r="A23" s="14" t="s">
        <v>64</v>
      </c>
      <c r="B23" s="37">
        <v>51</v>
      </c>
      <c r="C23" s="37">
        <v>56.3</v>
      </c>
      <c r="D23" s="37">
        <v>50.6</v>
      </c>
      <c r="E23" s="37">
        <v>33.700000000000003</v>
      </c>
      <c r="F23">
        <v>461148</v>
      </c>
      <c r="H23" s="35" t="s">
        <v>94</v>
      </c>
      <c r="I23" s="35" t="s">
        <v>95</v>
      </c>
      <c r="J23" s="35" t="s">
        <v>130</v>
      </c>
      <c r="K23" s="35" t="s">
        <v>131</v>
      </c>
      <c r="L23" s="35" t="s">
        <v>96</v>
      </c>
      <c r="N23" s="35" t="s">
        <v>138</v>
      </c>
      <c r="O23" s="35" t="s">
        <v>130</v>
      </c>
      <c r="P23" s="35" t="s">
        <v>131</v>
      </c>
      <c r="Q23" s="35" t="s">
        <v>96</v>
      </c>
    </row>
    <row r="24" spans="1:17" x14ac:dyDescent="0.2">
      <c r="A24" s="14" t="s">
        <v>107</v>
      </c>
      <c r="B24" s="37">
        <v>12.6</v>
      </c>
      <c r="C24" s="37">
        <v>23.3</v>
      </c>
      <c r="D24" s="37">
        <v>9.3000000000000007</v>
      </c>
      <c r="E24" s="37">
        <v>57.4</v>
      </c>
      <c r="F24">
        <v>786336</v>
      </c>
      <c r="H24" s="34" t="s">
        <v>114</v>
      </c>
      <c r="I24" s="186"/>
      <c r="J24" s="187"/>
      <c r="K24" s="187"/>
      <c r="L24" s="188"/>
      <c r="N24" s="14" t="s">
        <v>132</v>
      </c>
      <c r="O24" s="39">
        <v>799</v>
      </c>
      <c r="P24" s="39">
        <v>426</v>
      </c>
      <c r="Q24" s="39">
        <v>1148</v>
      </c>
    </row>
    <row r="25" spans="1:17" ht="34" customHeight="1" x14ac:dyDescent="0.2">
      <c r="A25" s="36" t="s">
        <v>108</v>
      </c>
      <c r="B25" s="183"/>
      <c r="C25" s="184"/>
      <c r="D25" s="184"/>
      <c r="E25" s="185"/>
      <c r="H25" s="33" t="s">
        <v>115</v>
      </c>
      <c r="I25" s="37">
        <v>0.3</v>
      </c>
      <c r="J25" s="37">
        <v>0.4</v>
      </c>
      <c r="K25" s="37">
        <v>0.2</v>
      </c>
      <c r="L25" s="37">
        <v>2.6</v>
      </c>
      <c r="N25" s="14" t="s">
        <v>133</v>
      </c>
      <c r="O25" s="39">
        <v>508</v>
      </c>
      <c r="P25" s="39">
        <v>300</v>
      </c>
      <c r="Q25" s="39">
        <v>840</v>
      </c>
    </row>
    <row r="26" spans="1:17" x14ac:dyDescent="0.2">
      <c r="A26" s="14" t="s">
        <v>68</v>
      </c>
      <c r="B26" s="37">
        <v>40.299999999999997</v>
      </c>
      <c r="C26" s="37">
        <v>46.2</v>
      </c>
      <c r="D26" s="37">
        <v>37.6</v>
      </c>
      <c r="E26" s="37">
        <v>51.5</v>
      </c>
      <c r="F26">
        <v>700554</v>
      </c>
      <c r="H26" s="33" t="s">
        <v>116</v>
      </c>
      <c r="I26" s="37">
        <v>61.6</v>
      </c>
      <c r="J26" s="37">
        <v>61.3</v>
      </c>
      <c r="K26" s="37">
        <v>59.4</v>
      </c>
      <c r="L26" s="37">
        <v>66.5</v>
      </c>
      <c r="N26" s="14" t="s">
        <v>134</v>
      </c>
      <c r="O26" s="39">
        <v>923</v>
      </c>
      <c r="P26" s="39">
        <v>685</v>
      </c>
      <c r="Q26" s="39">
        <v>1099</v>
      </c>
    </row>
    <row r="27" spans="1:17" x14ac:dyDescent="0.2">
      <c r="A27" s="14" t="s">
        <v>69</v>
      </c>
      <c r="B27" s="37">
        <v>54.5</v>
      </c>
      <c r="C27" s="37">
        <v>49</v>
      </c>
      <c r="D27" s="37">
        <v>56.8</v>
      </c>
      <c r="E27" s="37">
        <v>44.9</v>
      </c>
      <c r="F27">
        <v>610856</v>
      </c>
      <c r="H27" s="33" t="s">
        <v>117</v>
      </c>
      <c r="I27" s="37">
        <v>3.4</v>
      </c>
      <c r="J27" s="37">
        <v>5.0999999999999996</v>
      </c>
      <c r="K27" s="37">
        <v>3.1</v>
      </c>
      <c r="L27" s="37">
        <v>4.5999999999999996</v>
      </c>
      <c r="N27" s="14" t="s">
        <v>135</v>
      </c>
      <c r="O27" s="39">
        <v>10</v>
      </c>
      <c r="P27" s="39">
        <v>4</v>
      </c>
      <c r="Q27" s="39">
        <v>70</v>
      </c>
    </row>
    <row r="28" spans="1:17" x14ac:dyDescent="0.2">
      <c r="A28" s="14" t="s">
        <v>70</v>
      </c>
      <c r="B28" s="37">
        <v>5.2</v>
      </c>
      <c r="C28" s="37">
        <v>4.8</v>
      </c>
      <c r="D28" s="37">
        <v>5.6</v>
      </c>
      <c r="E28" s="37">
        <v>3.6</v>
      </c>
      <c r="F28">
        <v>48702</v>
      </c>
      <c r="H28" s="33" t="s">
        <v>118</v>
      </c>
      <c r="I28" s="37">
        <v>11.6</v>
      </c>
      <c r="J28" s="37">
        <v>10.9</v>
      </c>
      <c r="K28" s="37">
        <v>12.5</v>
      </c>
      <c r="L28" s="37">
        <v>6.4</v>
      </c>
      <c r="N28" s="14" t="s">
        <v>136</v>
      </c>
      <c r="O28" s="39">
        <v>16000</v>
      </c>
      <c r="P28" s="39">
        <v>20000</v>
      </c>
      <c r="Q28" s="39">
        <v>10000</v>
      </c>
    </row>
    <row r="29" spans="1:17" ht="34" customHeight="1" x14ac:dyDescent="0.2">
      <c r="A29" s="36" t="s">
        <v>76</v>
      </c>
      <c r="B29" s="183"/>
      <c r="C29" s="184"/>
      <c r="D29" s="184"/>
      <c r="E29" s="185"/>
      <c r="H29" s="33" t="s">
        <v>119</v>
      </c>
      <c r="I29" s="37">
        <v>13.1</v>
      </c>
      <c r="J29" s="37">
        <v>13.7</v>
      </c>
      <c r="K29" s="37">
        <v>13.6</v>
      </c>
      <c r="L29" s="37">
        <v>14</v>
      </c>
    </row>
    <row r="30" spans="1:17" x14ac:dyDescent="0.2">
      <c r="A30" s="14" t="s">
        <v>109</v>
      </c>
      <c r="B30" s="37">
        <v>25.8</v>
      </c>
      <c r="C30" s="37">
        <v>24.6</v>
      </c>
      <c r="D30" s="37">
        <v>24</v>
      </c>
      <c r="E30" s="37">
        <v>23.1</v>
      </c>
      <c r="F30">
        <v>316287</v>
      </c>
      <c r="H30" s="33" t="s">
        <v>120</v>
      </c>
      <c r="I30" s="37">
        <v>8</v>
      </c>
      <c r="J30" s="37">
        <v>6.2</v>
      </c>
      <c r="K30" s="37">
        <v>8.8000000000000007</v>
      </c>
      <c r="L30" s="37">
        <v>5.2</v>
      </c>
    </row>
    <row r="31" spans="1:17" x14ac:dyDescent="0.2">
      <c r="A31" s="14" t="s">
        <v>110</v>
      </c>
      <c r="B31" s="37">
        <v>36.799999999999997</v>
      </c>
      <c r="C31" s="37">
        <v>37.4</v>
      </c>
      <c r="D31" s="37">
        <v>36.200000000000003</v>
      </c>
      <c r="E31" s="37">
        <v>44.1</v>
      </c>
      <c r="F31">
        <v>604590</v>
      </c>
      <c r="H31" s="33" t="s">
        <v>70</v>
      </c>
      <c r="I31" s="37">
        <v>2</v>
      </c>
      <c r="J31" s="37">
        <v>2.5</v>
      </c>
      <c r="K31" s="37">
        <v>2.2999999999999998</v>
      </c>
      <c r="L31" s="37">
        <v>0.7</v>
      </c>
    </row>
    <row r="32" spans="1:17" x14ac:dyDescent="0.2">
      <c r="A32" s="14" t="s">
        <v>111</v>
      </c>
      <c r="B32" s="37">
        <v>27.3</v>
      </c>
      <c r="C32" s="37">
        <v>24.4</v>
      </c>
      <c r="D32" s="37">
        <v>28.6</v>
      </c>
      <c r="E32" s="37">
        <v>17</v>
      </c>
      <c r="F32">
        <v>233161</v>
      </c>
      <c r="H32" s="34" t="s">
        <v>121</v>
      </c>
      <c r="I32" s="186"/>
      <c r="J32" s="187"/>
      <c r="K32" s="187"/>
      <c r="L32" s="188"/>
    </row>
    <row r="33" spans="1:12" x14ac:dyDescent="0.2">
      <c r="A33" s="14" t="s">
        <v>112</v>
      </c>
      <c r="B33" s="37">
        <v>10.199999999999999</v>
      </c>
      <c r="C33" s="37">
        <v>13.6</v>
      </c>
      <c r="D33" s="37">
        <v>11.1</v>
      </c>
      <c r="E33" s="37">
        <v>15.8</v>
      </c>
      <c r="F33">
        <v>216834</v>
      </c>
      <c r="H33" s="33" t="s">
        <v>122</v>
      </c>
      <c r="I33" s="37">
        <v>15.7</v>
      </c>
      <c r="J33" s="37">
        <v>14.8</v>
      </c>
      <c r="K33" s="37">
        <v>15.4</v>
      </c>
      <c r="L33" s="37">
        <v>12.4</v>
      </c>
    </row>
    <row r="34" spans="1:12" ht="34" customHeight="1" x14ac:dyDescent="0.2">
      <c r="A34" s="36" t="s">
        <v>55</v>
      </c>
      <c r="B34" s="183"/>
      <c r="C34" s="184"/>
      <c r="D34" s="184"/>
      <c r="E34" s="185"/>
      <c r="H34" s="33" t="s">
        <v>123</v>
      </c>
      <c r="I34" s="37">
        <v>21.9</v>
      </c>
      <c r="J34" s="37">
        <v>21.3</v>
      </c>
      <c r="K34" s="37">
        <v>21.8</v>
      </c>
      <c r="L34" s="37">
        <v>18.7</v>
      </c>
    </row>
    <row r="35" spans="1:12" x14ac:dyDescent="0.2">
      <c r="A35" s="14" t="s">
        <v>60</v>
      </c>
      <c r="B35" s="37">
        <v>7.3</v>
      </c>
      <c r="C35" s="37">
        <v>6.1</v>
      </c>
      <c r="D35" s="37">
        <v>7.5</v>
      </c>
      <c r="E35" s="37">
        <v>8.8000000000000007</v>
      </c>
      <c r="F35">
        <v>120209</v>
      </c>
      <c r="H35" s="33" t="s">
        <v>124</v>
      </c>
      <c r="I35" s="37">
        <v>18.100000000000001</v>
      </c>
      <c r="J35" s="37">
        <v>16.8</v>
      </c>
      <c r="K35" s="37">
        <v>18.600000000000001</v>
      </c>
      <c r="L35" s="37">
        <v>21.3</v>
      </c>
    </row>
    <row r="36" spans="1:12" x14ac:dyDescent="0.2">
      <c r="A36" s="14" t="s">
        <v>57</v>
      </c>
      <c r="B36" s="37">
        <v>26.4</v>
      </c>
      <c r="C36" s="37">
        <v>15</v>
      </c>
      <c r="D36" s="37">
        <v>28.6</v>
      </c>
      <c r="E36" s="37">
        <v>17.399999999999999</v>
      </c>
      <c r="F36">
        <v>239070</v>
      </c>
      <c r="H36" s="33" t="s">
        <v>125</v>
      </c>
      <c r="I36" s="37">
        <v>24.1</v>
      </c>
      <c r="J36" s="37">
        <v>27.4</v>
      </c>
      <c r="K36" s="37">
        <v>23.2</v>
      </c>
      <c r="L36" s="37">
        <v>33.799999999999997</v>
      </c>
    </row>
    <row r="37" spans="1:12" x14ac:dyDescent="0.2">
      <c r="A37" s="14" t="s">
        <v>56</v>
      </c>
      <c r="B37" s="37">
        <v>7.4</v>
      </c>
      <c r="C37" s="37">
        <v>3.9</v>
      </c>
      <c r="D37" s="37">
        <v>8.1999999999999993</v>
      </c>
      <c r="E37" s="37">
        <v>8</v>
      </c>
      <c r="F37">
        <v>109219</v>
      </c>
      <c r="H37" s="33" t="s">
        <v>126</v>
      </c>
      <c r="I37" s="37">
        <v>20.2</v>
      </c>
      <c r="J37" s="37">
        <v>19.600000000000001</v>
      </c>
      <c r="K37" s="37">
        <v>21</v>
      </c>
      <c r="L37" s="37">
        <v>13.8</v>
      </c>
    </row>
    <row r="38" spans="1:12" x14ac:dyDescent="0.2">
      <c r="A38" s="14" t="s">
        <v>58</v>
      </c>
      <c r="B38" s="37">
        <v>44.1</v>
      </c>
      <c r="C38" s="37">
        <v>56.4</v>
      </c>
      <c r="D38" s="37">
        <v>41.1</v>
      </c>
      <c r="E38" s="37">
        <v>44.5</v>
      </c>
      <c r="F38">
        <v>610527</v>
      </c>
    </row>
    <row r="39" spans="1:12" x14ac:dyDescent="0.2">
      <c r="A39" s="14" t="s">
        <v>59</v>
      </c>
      <c r="B39" s="37">
        <v>14.9</v>
      </c>
      <c r="C39" s="37">
        <v>18.600000000000001</v>
      </c>
      <c r="D39" s="37">
        <v>14.6</v>
      </c>
      <c r="E39" s="37">
        <v>21.3</v>
      </c>
      <c r="F39">
        <v>291847</v>
      </c>
    </row>
    <row r="40" spans="1:12" ht="34" customHeight="1" x14ac:dyDescent="0.2">
      <c r="A40" s="36" t="s">
        <v>113</v>
      </c>
      <c r="B40" s="183"/>
      <c r="C40" s="184"/>
      <c r="D40" s="184"/>
      <c r="E40" s="185"/>
      <c r="H40" s="34" t="s">
        <v>127</v>
      </c>
      <c r="I40" s="33"/>
      <c r="J40" s="33"/>
      <c r="K40" s="33"/>
      <c r="L40" s="33"/>
    </row>
    <row r="41" spans="1:12" x14ac:dyDescent="0.2">
      <c r="A41" s="14" t="s">
        <v>54</v>
      </c>
      <c r="B41" s="37">
        <v>16.3</v>
      </c>
      <c r="C41" s="37">
        <v>6.6</v>
      </c>
      <c r="D41" s="37">
        <v>17.100000000000001</v>
      </c>
      <c r="E41" s="37">
        <v>9.8000000000000007</v>
      </c>
      <c r="F41">
        <v>134099</v>
      </c>
      <c r="H41" s="33" t="s">
        <v>128</v>
      </c>
      <c r="I41" s="37">
        <v>85.5</v>
      </c>
      <c r="J41" s="37">
        <v>90.6</v>
      </c>
      <c r="K41" s="37">
        <v>81.7</v>
      </c>
      <c r="L41" s="37">
        <v>98.5</v>
      </c>
    </row>
    <row r="42" spans="1:12" x14ac:dyDescent="0.2">
      <c r="A42" s="14" t="s">
        <v>53</v>
      </c>
      <c r="B42" s="37">
        <v>83.7</v>
      </c>
      <c r="C42" s="37">
        <v>93.4</v>
      </c>
      <c r="D42" s="37">
        <v>82.9</v>
      </c>
      <c r="E42" s="37">
        <v>90.2</v>
      </c>
      <c r="F42">
        <v>1236773</v>
      </c>
      <c r="H42" s="33" t="s">
        <v>129</v>
      </c>
      <c r="I42" s="37">
        <v>14.5</v>
      </c>
      <c r="J42" s="37">
        <v>9.4</v>
      </c>
      <c r="K42" s="37">
        <v>18.3</v>
      </c>
      <c r="L42" s="37">
        <v>1.5</v>
      </c>
    </row>
  </sheetData>
  <mergeCells count="9">
    <mergeCell ref="B34:E34"/>
    <mergeCell ref="B40:E40"/>
    <mergeCell ref="I32:L32"/>
    <mergeCell ref="I24:L24"/>
    <mergeCell ref="B2:E2"/>
    <mergeCell ref="B21:E21"/>
    <mergeCell ref="B25:E25"/>
    <mergeCell ref="B29:E29"/>
    <mergeCell ref="B17:E17"/>
  </mergeCells>
  <conditionalFormatting sqref="B3:E13 B18:E20">
    <cfRule type="colorScale" priority="26">
      <colorScale>
        <cfvo type="min"/>
        <cfvo type="max"/>
        <color rgb="FFFFEF9C"/>
        <color rgb="FF63BE7B"/>
      </colorScale>
    </cfRule>
  </conditionalFormatting>
  <conditionalFormatting sqref="B22:E24">
    <cfRule type="colorScale" priority="12">
      <colorScale>
        <cfvo type="min"/>
        <cfvo type="max"/>
        <color rgb="FFFFEF9C"/>
        <color rgb="FF63BE7B"/>
      </colorScale>
    </cfRule>
  </conditionalFormatting>
  <conditionalFormatting sqref="B26:E28">
    <cfRule type="colorScale" priority="14">
      <colorScale>
        <cfvo type="min"/>
        <cfvo type="max"/>
        <color rgb="FFFFEF9C"/>
        <color rgb="FF63BE7B"/>
      </colorScale>
    </cfRule>
  </conditionalFormatting>
  <conditionalFormatting sqref="B30:E33">
    <cfRule type="colorScale" priority="16">
      <colorScale>
        <cfvo type="min"/>
        <cfvo type="max"/>
        <color rgb="FFFFEF9C"/>
        <color rgb="FF63BE7B"/>
      </colorScale>
    </cfRule>
  </conditionalFormatting>
  <conditionalFormatting sqref="B35:E39">
    <cfRule type="colorScale" priority="18">
      <colorScale>
        <cfvo type="min"/>
        <cfvo type="max"/>
        <color rgb="FFFFEF9C"/>
        <color rgb="FF63BE7B"/>
      </colorScale>
    </cfRule>
  </conditionalFormatting>
  <conditionalFormatting sqref="B41:E42">
    <cfRule type="colorScale" priority="20">
      <colorScale>
        <cfvo type="min"/>
        <cfvo type="max"/>
        <color rgb="FFFFEF9C"/>
        <color rgb="FF63BE7B"/>
      </colorScale>
    </cfRule>
  </conditionalFormatting>
  <conditionalFormatting sqref="I25:L31">
    <cfRule type="colorScale" priority="21">
      <colorScale>
        <cfvo type="min"/>
        <cfvo type="max"/>
        <color rgb="FFFFEF9C"/>
        <color rgb="FF63BE7B"/>
      </colorScale>
    </cfRule>
  </conditionalFormatting>
  <conditionalFormatting sqref="I33:L37">
    <cfRule type="colorScale" priority="23">
      <colorScale>
        <cfvo type="min"/>
        <cfvo type="max"/>
        <color rgb="FFFFEF9C"/>
        <color rgb="FF63BE7B"/>
      </colorScale>
    </cfRule>
  </conditionalFormatting>
  <conditionalFormatting sqref="I41:L42">
    <cfRule type="colorScale" priority="25">
      <colorScale>
        <cfvo type="min"/>
        <cfvo type="max"/>
        <color rgb="FFFFEF9C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6350D3-9263-5248-84D6-C1201EC30BFB}">
  <dimension ref="A1:O95"/>
  <sheetViews>
    <sheetView topLeftCell="A5" workbookViewId="0">
      <selection activeCell="K35" sqref="K35:O35"/>
    </sheetView>
  </sheetViews>
  <sheetFormatPr baseColWidth="10" defaultRowHeight="16" x14ac:dyDescent="0.2"/>
  <sheetData>
    <row r="1" spans="1:15" x14ac:dyDescent="0.2">
      <c r="A1" t="s">
        <v>407</v>
      </c>
    </row>
    <row r="2" spans="1:15" x14ac:dyDescent="0.2">
      <c r="A2" t="s">
        <v>259</v>
      </c>
      <c r="I2" t="s">
        <v>244</v>
      </c>
    </row>
    <row r="3" spans="1:15" x14ac:dyDescent="0.2">
      <c r="A3" t="s">
        <v>407</v>
      </c>
      <c r="I3" t="s">
        <v>383</v>
      </c>
      <c r="J3" t="s">
        <v>437</v>
      </c>
      <c r="K3" t="s">
        <v>246</v>
      </c>
      <c r="L3" t="s">
        <v>223</v>
      </c>
    </row>
    <row r="4" spans="1:15" x14ac:dyDescent="0.2">
      <c r="B4" t="s">
        <v>360</v>
      </c>
      <c r="C4" t="s">
        <v>408</v>
      </c>
      <c r="D4" t="s">
        <v>409</v>
      </c>
      <c r="E4" t="s">
        <v>410</v>
      </c>
      <c r="F4" t="s">
        <v>411</v>
      </c>
      <c r="J4" t="s">
        <v>31</v>
      </c>
    </row>
    <row r="5" spans="1:15" x14ac:dyDescent="0.2">
      <c r="A5">
        <v>1</v>
      </c>
      <c r="B5" t="s">
        <v>366</v>
      </c>
      <c r="C5">
        <v>25101952</v>
      </c>
      <c r="D5">
        <v>222175</v>
      </c>
      <c r="E5">
        <v>5131391</v>
      </c>
      <c r="F5">
        <v>9822083</v>
      </c>
      <c r="I5" t="s">
        <v>30</v>
      </c>
      <c r="K5">
        <v>0</v>
      </c>
      <c r="L5">
        <v>1</v>
      </c>
      <c r="M5">
        <v>2</v>
      </c>
      <c r="N5">
        <v>3</v>
      </c>
      <c r="O5" t="s">
        <v>32</v>
      </c>
    </row>
    <row r="6" spans="1:15" x14ac:dyDescent="0.2">
      <c r="A6">
        <v>2</v>
      </c>
      <c r="B6" t="s">
        <v>232</v>
      </c>
      <c r="C6">
        <v>14374192</v>
      </c>
      <c r="D6">
        <v>452948</v>
      </c>
      <c r="E6">
        <v>3721373</v>
      </c>
      <c r="F6">
        <v>6139318</v>
      </c>
      <c r="J6">
        <v>0</v>
      </c>
      <c r="K6">
        <v>1375127</v>
      </c>
      <c r="L6">
        <v>3144148</v>
      </c>
      <c r="M6">
        <v>9591668</v>
      </c>
      <c r="N6">
        <v>2120473</v>
      </c>
      <c r="O6">
        <v>506524</v>
      </c>
    </row>
    <row r="7" spans="1:15" x14ac:dyDescent="0.2">
      <c r="A7">
        <v>3</v>
      </c>
      <c r="B7" t="s">
        <v>194</v>
      </c>
      <c r="C7">
        <v>12885312</v>
      </c>
      <c r="D7">
        <v>695749</v>
      </c>
      <c r="E7">
        <v>3020581</v>
      </c>
      <c r="F7">
        <v>5193953</v>
      </c>
      <c r="J7">
        <v>1</v>
      </c>
      <c r="K7">
        <v>573128</v>
      </c>
      <c r="L7">
        <v>3752986</v>
      </c>
      <c r="M7">
        <v>5904608</v>
      </c>
      <c r="N7">
        <v>1330200</v>
      </c>
      <c r="O7">
        <v>517223</v>
      </c>
    </row>
    <row r="8" spans="1:15" x14ac:dyDescent="0.2">
      <c r="A8">
        <v>4</v>
      </c>
      <c r="B8" t="s">
        <v>29</v>
      </c>
      <c r="C8">
        <v>52361456</v>
      </c>
      <c r="D8">
        <v>1370872</v>
      </c>
      <c r="E8">
        <v>11873344</v>
      </c>
      <c r="F8">
        <v>21155353</v>
      </c>
      <c r="J8">
        <v>2</v>
      </c>
      <c r="K8">
        <v>703220</v>
      </c>
      <c r="L8">
        <v>1046869</v>
      </c>
      <c r="M8">
        <v>8029639</v>
      </c>
      <c r="N8">
        <v>1988593</v>
      </c>
      <c r="O8">
        <v>1073987</v>
      </c>
    </row>
    <row r="9" spans="1:15" x14ac:dyDescent="0.2">
      <c r="J9">
        <v>3</v>
      </c>
      <c r="K9">
        <v>550239</v>
      </c>
      <c r="L9">
        <v>809097</v>
      </c>
      <c r="M9">
        <v>1130345</v>
      </c>
      <c r="N9">
        <v>2638127</v>
      </c>
      <c r="O9">
        <v>1022050</v>
      </c>
    </row>
    <row r="10" spans="1:15" x14ac:dyDescent="0.2">
      <c r="J10" t="s">
        <v>32</v>
      </c>
      <c r="K10">
        <v>316985</v>
      </c>
      <c r="L10">
        <v>470003</v>
      </c>
      <c r="M10">
        <v>1602434</v>
      </c>
      <c r="N10">
        <v>293615</v>
      </c>
      <c r="O10">
        <v>1261671</v>
      </c>
    </row>
    <row r="11" spans="1:15" x14ac:dyDescent="0.2">
      <c r="A11" t="s">
        <v>407</v>
      </c>
    </row>
    <row r="12" spans="1:15" x14ac:dyDescent="0.2">
      <c r="A12" t="s">
        <v>20</v>
      </c>
      <c r="I12" t="s">
        <v>244</v>
      </c>
    </row>
    <row r="13" spans="1:15" x14ac:dyDescent="0.2">
      <c r="A13" t="s">
        <v>407</v>
      </c>
      <c r="I13" t="s">
        <v>383</v>
      </c>
      <c r="J13" t="s">
        <v>437</v>
      </c>
      <c r="K13" t="s">
        <v>246</v>
      </c>
      <c r="L13" t="s">
        <v>238</v>
      </c>
    </row>
    <row r="14" spans="1:15" x14ac:dyDescent="0.2">
      <c r="B14" t="s">
        <v>360</v>
      </c>
      <c r="C14" t="s">
        <v>408</v>
      </c>
      <c r="D14" t="s">
        <v>409</v>
      </c>
      <c r="E14" t="s">
        <v>410</v>
      </c>
      <c r="F14" t="s">
        <v>411</v>
      </c>
      <c r="J14" t="s">
        <v>31</v>
      </c>
    </row>
    <row r="15" spans="1:15" x14ac:dyDescent="0.2">
      <c r="A15">
        <v>1</v>
      </c>
      <c r="B15" t="s">
        <v>21</v>
      </c>
      <c r="C15">
        <v>18888637</v>
      </c>
      <c r="D15">
        <v>122901</v>
      </c>
      <c r="E15">
        <v>2392494</v>
      </c>
      <c r="F15">
        <v>8420200</v>
      </c>
      <c r="I15" t="s">
        <v>30</v>
      </c>
      <c r="K15">
        <v>0</v>
      </c>
      <c r="L15">
        <v>1</v>
      </c>
      <c r="M15">
        <v>2</v>
      </c>
      <c r="N15">
        <v>3</v>
      </c>
      <c r="O15" t="s">
        <v>32</v>
      </c>
    </row>
    <row r="16" spans="1:15" x14ac:dyDescent="0.2">
      <c r="A16">
        <v>2</v>
      </c>
      <c r="B16" s="2">
        <v>46334</v>
      </c>
      <c r="C16">
        <v>26469641</v>
      </c>
      <c r="D16">
        <v>461148</v>
      </c>
      <c r="E16">
        <v>6613582</v>
      </c>
      <c r="F16">
        <v>10613589</v>
      </c>
      <c r="J16">
        <v>0</v>
      </c>
      <c r="K16">
        <v>74019</v>
      </c>
      <c r="L16">
        <v>62757</v>
      </c>
      <c r="M16">
        <v>202448</v>
      </c>
      <c r="N16">
        <v>22487</v>
      </c>
      <c r="O16">
        <v>21075</v>
      </c>
    </row>
    <row r="17" spans="1:15" x14ac:dyDescent="0.2">
      <c r="A17">
        <v>3</v>
      </c>
      <c r="B17" t="s">
        <v>22</v>
      </c>
      <c r="C17">
        <v>6550377</v>
      </c>
      <c r="D17">
        <v>786336</v>
      </c>
      <c r="E17">
        <v>2742555</v>
      </c>
      <c r="F17">
        <v>1942142</v>
      </c>
      <c r="J17">
        <v>1</v>
      </c>
      <c r="K17">
        <v>12301</v>
      </c>
      <c r="L17">
        <v>133128</v>
      </c>
      <c r="M17">
        <v>141336</v>
      </c>
      <c r="N17">
        <v>44601</v>
      </c>
      <c r="O17">
        <v>20250</v>
      </c>
    </row>
    <row r="18" spans="1:15" x14ac:dyDescent="0.2">
      <c r="A18">
        <v>4</v>
      </c>
      <c r="B18" t="s">
        <v>29</v>
      </c>
      <c r="C18">
        <v>51908655</v>
      </c>
      <c r="D18" s="164">
        <v>1370385</v>
      </c>
      <c r="E18">
        <v>11748632</v>
      </c>
      <c r="F18">
        <v>20975932</v>
      </c>
      <c r="J18">
        <v>2</v>
      </c>
      <c r="K18">
        <v>518</v>
      </c>
      <c r="L18">
        <v>12449</v>
      </c>
      <c r="M18">
        <v>306707</v>
      </c>
      <c r="N18">
        <v>58755</v>
      </c>
      <c r="O18">
        <v>33003</v>
      </c>
    </row>
    <row r="19" spans="1:15" x14ac:dyDescent="0.2">
      <c r="J19">
        <v>3</v>
      </c>
      <c r="K19">
        <v>17039</v>
      </c>
      <c r="L19">
        <v>4203</v>
      </c>
      <c r="M19">
        <v>5966</v>
      </c>
      <c r="N19">
        <v>76290</v>
      </c>
      <c r="O19">
        <v>22719</v>
      </c>
    </row>
    <row r="20" spans="1:15" x14ac:dyDescent="0.2">
      <c r="J20" t="s">
        <v>32</v>
      </c>
      <c r="K20">
        <v>222</v>
      </c>
      <c r="L20">
        <v>1715</v>
      </c>
      <c r="M20">
        <v>22388</v>
      </c>
      <c r="N20">
        <v>5009</v>
      </c>
      <c r="O20">
        <v>23428</v>
      </c>
    </row>
    <row r="21" spans="1:15" x14ac:dyDescent="0.2">
      <c r="A21" t="s">
        <v>407</v>
      </c>
    </row>
    <row r="22" spans="1:15" x14ac:dyDescent="0.2">
      <c r="A22" t="s">
        <v>24</v>
      </c>
      <c r="I22" t="s">
        <v>244</v>
      </c>
    </row>
    <row r="23" spans="1:15" x14ac:dyDescent="0.2">
      <c r="A23" t="s">
        <v>407</v>
      </c>
      <c r="I23" t="s">
        <v>383</v>
      </c>
      <c r="J23" t="s">
        <v>437</v>
      </c>
      <c r="K23" t="s">
        <v>246</v>
      </c>
      <c r="L23" t="s">
        <v>239</v>
      </c>
    </row>
    <row r="24" spans="1:15" x14ac:dyDescent="0.2">
      <c r="B24" t="s">
        <v>360</v>
      </c>
      <c r="C24" t="s">
        <v>408</v>
      </c>
      <c r="D24" t="s">
        <v>409</v>
      </c>
      <c r="E24" t="s">
        <v>410</v>
      </c>
      <c r="F24" t="s">
        <v>411</v>
      </c>
      <c r="J24" t="s">
        <v>31</v>
      </c>
    </row>
    <row r="25" spans="1:15" x14ac:dyDescent="0.2">
      <c r="A25">
        <v>1</v>
      </c>
      <c r="B25" t="s">
        <v>25</v>
      </c>
      <c r="C25">
        <v>20873916</v>
      </c>
      <c r="D25">
        <v>700554</v>
      </c>
      <c r="E25">
        <v>5449257</v>
      </c>
      <c r="F25">
        <v>7864086</v>
      </c>
      <c r="I25" t="s">
        <v>30</v>
      </c>
      <c r="K25">
        <v>0</v>
      </c>
      <c r="L25">
        <v>1</v>
      </c>
      <c r="M25">
        <v>2</v>
      </c>
      <c r="N25">
        <v>3</v>
      </c>
      <c r="O25" t="s">
        <v>32</v>
      </c>
    </row>
    <row r="26" spans="1:15" x14ac:dyDescent="0.2">
      <c r="A26">
        <v>2</v>
      </c>
      <c r="B26" t="s">
        <v>26</v>
      </c>
      <c r="C26">
        <v>28270123</v>
      </c>
      <c r="D26">
        <v>610856</v>
      </c>
      <c r="E26">
        <v>5776437</v>
      </c>
      <c r="F26">
        <v>11880916</v>
      </c>
      <c r="J26">
        <v>0</v>
      </c>
      <c r="K26">
        <v>330176</v>
      </c>
      <c r="L26">
        <v>697992</v>
      </c>
      <c r="M26">
        <v>2454384</v>
      </c>
      <c r="N26">
        <v>482624</v>
      </c>
      <c r="O26">
        <v>137573</v>
      </c>
    </row>
    <row r="27" spans="1:15" x14ac:dyDescent="0.2">
      <c r="A27">
        <v>3</v>
      </c>
      <c r="B27" t="s">
        <v>27</v>
      </c>
      <c r="C27">
        <v>2715173</v>
      </c>
      <c r="D27">
        <v>48702</v>
      </c>
      <c r="E27">
        <v>568777</v>
      </c>
      <c r="F27">
        <v>1174628</v>
      </c>
      <c r="J27">
        <v>1</v>
      </c>
      <c r="K27">
        <v>155501</v>
      </c>
      <c r="L27">
        <v>1005298</v>
      </c>
      <c r="M27">
        <v>1556655</v>
      </c>
      <c r="N27">
        <v>289341</v>
      </c>
      <c r="O27">
        <v>145343</v>
      </c>
    </row>
    <row r="28" spans="1:15" x14ac:dyDescent="0.2">
      <c r="A28">
        <v>4</v>
      </c>
      <c r="B28" t="s">
        <v>29</v>
      </c>
      <c r="C28">
        <v>51859212</v>
      </c>
      <c r="D28" s="164">
        <v>1360112</v>
      </c>
      <c r="E28">
        <v>11794470</v>
      </c>
      <c r="F28">
        <v>20919630</v>
      </c>
      <c r="J28">
        <v>2</v>
      </c>
      <c r="K28">
        <v>157972</v>
      </c>
      <c r="L28">
        <v>136331</v>
      </c>
      <c r="M28">
        <v>1919695</v>
      </c>
      <c r="N28">
        <v>433989</v>
      </c>
      <c r="O28">
        <v>291452</v>
      </c>
    </row>
    <row r="29" spans="1:15" x14ac:dyDescent="0.2">
      <c r="J29">
        <v>3</v>
      </c>
      <c r="K29">
        <v>123487</v>
      </c>
      <c r="L29">
        <v>172435</v>
      </c>
      <c r="M29">
        <v>229335</v>
      </c>
      <c r="N29">
        <v>418780</v>
      </c>
      <c r="O29">
        <v>134873</v>
      </c>
    </row>
    <row r="30" spans="1:15" x14ac:dyDescent="0.2">
      <c r="J30" t="s">
        <v>32</v>
      </c>
      <c r="K30">
        <v>63056</v>
      </c>
      <c r="L30">
        <v>55125</v>
      </c>
      <c r="M30">
        <v>214676</v>
      </c>
      <c r="N30">
        <v>35177</v>
      </c>
      <c r="O30">
        <v>144065</v>
      </c>
    </row>
    <row r="31" spans="1:15" x14ac:dyDescent="0.2">
      <c r="A31" t="s">
        <v>407</v>
      </c>
    </row>
    <row r="32" spans="1:15" x14ac:dyDescent="0.2">
      <c r="A32" t="s">
        <v>412</v>
      </c>
      <c r="I32" t="s">
        <v>244</v>
      </c>
    </row>
    <row r="33" spans="1:15" x14ac:dyDescent="0.2">
      <c r="A33" t="s">
        <v>407</v>
      </c>
      <c r="I33" t="s">
        <v>383</v>
      </c>
      <c r="J33" t="s">
        <v>437</v>
      </c>
      <c r="K33" t="s">
        <v>246</v>
      </c>
      <c r="L33" t="s">
        <v>168</v>
      </c>
    </row>
    <row r="34" spans="1:15" x14ac:dyDescent="0.2">
      <c r="B34" t="s">
        <v>360</v>
      </c>
      <c r="C34" t="s">
        <v>408</v>
      </c>
      <c r="D34" t="s">
        <v>409</v>
      </c>
      <c r="E34" t="s">
        <v>410</v>
      </c>
      <c r="F34" t="s">
        <v>411</v>
      </c>
      <c r="J34" t="s">
        <v>31</v>
      </c>
    </row>
    <row r="35" spans="1:15" x14ac:dyDescent="0.2">
      <c r="A35">
        <v>1</v>
      </c>
      <c r="B35" t="s">
        <v>413</v>
      </c>
      <c r="C35">
        <v>13486168</v>
      </c>
      <c r="D35">
        <v>316287</v>
      </c>
      <c r="E35">
        <v>2916027</v>
      </c>
      <c r="F35">
        <v>5077975</v>
      </c>
      <c r="I35" t="s">
        <v>30</v>
      </c>
      <c r="K35">
        <v>0</v>
      </c>
      <c r="L35">
        <v>1</v>
      </c>
      <c r="M35">
        <v>2</v>
      </c>
      <c r="N35">
        <v>3</v>
      </c>
      <c r="O35" t="s">
        <v>32</v>
      </c>
    </row>
    <row r="36" spans="1:15" x14ac:dyDescent="0.2">
      <c r="A36">
        <v>2</v>
      </c>
      <c r="B36" t="s">
        <v>414</v>
      </c>
      <c r="C36">
        <v>19226004</v>
      </c>
      <c r="D36">
        <v>604590</v>
      </c>
      <c r="E36">
        <v>4435268</v>
      </c>
      <c r="F36">
        <v>7648697</v>
      </c>
      <c r="J36">
        <v>0</v>
      </c>
      <c r="K36">
        <v>474119</v>
      </c>
      <c r="L36">
        <v>1372910</v>
      </c>
      <c r="M36">
        <v>3603510</v>
      </c>
      <c r="N36">
        <v>811452</v>
      </c>
      <c r="O36">
        <v>208392</v>
      </c>
    </row>
    <row r="37" spans="1:15" x14ac:dyDescent="0.2">
      <c r="A37">
        <v>3</v>
      </c>
      <c r="B37" t="s">
        <v>415</v>
      </c>
      <c r="C37">
        <v>14288390</v>
      </c>
      <c r="D37">
        <v>233161</v>
      </c>
      <c r="E37">
        <v>2893957</v>
      </c>
      <c r="F37">
        <v>6047442</v>
      </c>
      <c r="J37">
        <v>1</v>
      </c>
      <c r="K37">
        <v>225199</v>
      </c>
      <c r="L37">
        <v>1419785</v>
      </c>
      <c r="M37">
        <v>2121199</v>
      </c>
      <c r="N37">
        <v>519138</v>
      </c>
      <c r="O37">
        <v>229067</v>
      </c>
    </row>
    <row r="38" spans="1:15" x14ac:dyDescent="0.2">
      <c r="A38">
        <v>4</v>
      </c>
      <c r="B38" t="s">
        <v>416</v>
      </c>
      <c r="C38">
        <v>5313760</v>
      </c>
      <c r="D38">
        <v>216834</v>
      </c>
      <c r="E38">
        <v>1606833</v>
      </c>
      <c r="F38">
        <v>2355973</v>
      </c>
      <c r="J38">
        <v>2</v>
      </c>
      <c r="K38">
        <v>303955</v>
      </c>
      <c r="L38">
        <v>525474</v>
      </c>
      <c r="M38">
        <v>3244567</v>
      </c>
      <c r="N38">
        <v>876322</v>
      </c>
      <c r="O38">
        <v>386611</v>
      </c>
    </row>
    <row r="39" spans="1:15" x14ac:dyDescent="0.2">
      <c r="A39">
        <v>5</v>
      </c>
      <c r="B39" t="s">
        <v>29</v>
      </c>
      <c r="C39">
        <v>52314322</v>
      </c>
      <c r="D39">
        <v>1370872</v>
      </c>
      <c r="E39">
        <v>11852086</v>
      </c>
      <c r="F39">
        <v>21130088</v>
      </c>
      <c r="J39">
        <v>3</v>
      </c>
      <c r="K39">
        <v>230035</v>
      </c>
      <c r="L39">
        <v>359543</v>
      </c>
      <c r="M39">
        <v>500065</v>
      </c>
      <c r="N39">
        <v>1192895</v>
      </c>
      <c r="O39">
        <v>483259</v>
      </c>
    </row>
    <row r="40" spans="1:15" x14ac:dyDescent="0.2">
      <c r="J40" t="s">
        <v>32</v>
      </c>
      <c r="K40">
        <v>140229</v>
      </c>
      <c r="L40">
        <v>282702</v>
      </c>
      <c r="M40">
        <v>748168</v>
      </c>
      <c r="N40">
        <v>127886</v>
      </c>
      <c r="O40">
        <v>567120</v>
      </c>
    </row>
    <row r="42" spans="1:15" x14ac:dyDescent="0.2">
      <c r="A42" t="s">
        <v>407</v>
      </c>
    </row>
    <row r="43" spans="1:15" x14ac:dyDescent="0.2">
      <c r="A43" t="s">
        <v>417</v>
      </c>
    </row>
    <row r="44" spans="1:15" x14ac:dyDescent="0.2">
      <c r="A44" t="s">
        <v>407</v>
      </c>
    </row>
    <row r="45" spans="1:15" x14ac:dyDescent="0.2">
      <c r="B45" t="s">
        <v>360</v>
      </c>
      <c r="C45" t="s">
        <v>408</v>
      </c>
      <c r="D45" t="s">
        <v>409</v>
      </c>
      <c r="E45" t="s">
        <v>410</v>
      </c>
      <c r="F45" t="s">
        <v>411</v>
      </c>
    </row>
    <row r="46" spans="1:15" x14ac:dyDescent="0.2">
      <c r="A46">
        <v>1</v>
      </c>
      <c r="B46" t="s">
        <v>372</v>
      </c>
      <c r="C46">
        <v>3806124</v>
      </c>
      <c r="D46">
        <v>120209</v>
      </c>
      <c r="E46">
        <v>728843</v>
      </c>
      <c r="F46">
        <v>1587066</v>
      </c>
    </row>
    <row r="47" spans="1:15" x14ac:dyDescent="0.2">
      <c r="A47">
        <v>2</v>
      </c>
      <c r="B47" t="s">
        <v>373</v>
      </c>
      <c r="C47">
        <v>13822324</v>
      </c>
      <c r="D47">
        <v>239070</v>
      </c>
      <c r="E47">
        <v>1783191</v>
      </c>
      <c r="F47">
        <v>6049640</v>
      </c>
    </row>
    <row r="48" spans="1:15" x14ac:dyDescent="0.2">
      <c r="A48">
        <v>3</v>
      </c>
      <c r="B48" t="s">
        <v>374</v>
      </c>
      <c r="C48">
        <v>3877256</v>
      </c>
      <c r="D48">
        <v>109219</v>
      </c>
      <c r="E48">
        <v>457495</v>
      </c>
      <c r="F48">
        <v>1737201</v>
      </c>
    </row>
    <row r="49" spans="1:6" x14ac:dyDescent="0.2">
      <c r="A49">
        <v>4</v>
      </c>
      <c r="B49" t="s">
        <v>375</v>
      </c>
      <c r="C49">
        <v>23075866</v>
      </c>
      <c r="D49">
        <v>610527</v>
      </c>
      <c r="E49">
        <v>6700541</v>
      </c>
      <c r="F49">
        <v>8687497</v>
      </c>
    </row>
    <row r="50" spans="1:6" x14ac:dyDescent="0.2">
      <c r="A50">
        <v>5</v>
      </c>
      <c r="B50" t="s">
        <v>376</v>
      </c>
      <c r="C50">
        <v>7779886</v>
      </c>
      <c r="D50">
        <v>291847</v>
      </c>
      <c r="E50">
        <v>2203274</v>
      </c>
      <c r="F50">
        <v>3093949</v>
      </c>
    </row>
    <row r="51" spans="1:6" x14ac:dyDescent="0.2">
      <c r="A51">
        <v>6</v>
      </c>
      <c r="B51" t="s">
        <v>29</v>
      </c>
      <c r="C51">
        <v>52361456</v>
      </c>
      <c r="D51">
        <v>1370872</v>
      </c>
      <c r="E51">
        <v>11873344</v>
      </c>
      <c r="F51">
        <v>21155353</v>
      </c>
    </row>
    <row r="54" spans="1:6" x14ac:dyDescent="0.2">
      <c r="A54" t="s">
        <v>407</v>
      </c>
    </row>
    <row r="55" spans="1:6" x14ac:dyDescent="0.2">
      <c r="A55" t="s">
        <v>418</v>
      </c>
    </row>
    <row r="56" spans="1:6" x14ac:dyDescent="0.2">
      <c r="A56" t="s">
        <v>407</v>
      </c>
    </row>
    <row r="57" spans="1:6" x14ac:dyDescent="0.2">
      <c r="B57" t="s">
        <v>360</v>
      </c>
      <c r="C57" t="s">
        <v>408</v>
      </c>
      <c r="D57" t="s">
        <v>409</v>
      </c>
      <c r="E57" t="s">
        <v>410</v>
      </c>
      <c r="F57" t="s">
        <v>411</v>
      </c>
    </row>
    <row r="58" spans="1:6" x14ac:dyDescent="0.2">
      <c r="A58">
        <v>1</v>
      </c>
      <c r="B58" t="s">
        <v>54</v>
      </c>
      <c r="C58">
        <v>8532606</v>
      </c>
      <c r="D58">
        <v>134099</v>
      </c>
      <c r="E58">
        <v>784548</v>
      </c>
      <c r="F58">
        <v>3612145</v>
      </c>
    </row>
    <row r="59" spans="1:6" x14ac:dyDescent="0.2">
      <c r="A59">
        <v>2</v>
      </c>
      <c r="B59" t="s">
        <v>419</v>
      </c>
      <c r="C59">
        <v>43828850</v>
      </c>
      <c r="D59">
        <v>1236773</v>
      </c>
      <c r="E59">
        <v>11088796</v>
      </c>
      <c r="F59">
        <v>17543208</v>
      </c>
    </row>
    <row r="60" spans="1:6" x14ac:dyDescent="0.2">
      <c r="A60">
        <v>3</v>
      </c>
      <c r="B60" t="s">
        <v>29</v>
      </c>
      <c r="C60">
        <v>52361456</v>
      </c>
      <c r="D60">
        <v>1370872</v>
      </c>
      <c r="E60">
        <v>11873344</v>
      </c>
      <c r="F60">
        <v>21155353</v>
      </c>
    </row>
    <row r="63" spans="1:6" x14ac:dyDescent="0.2">
      <c r="A63" t="s">
        <v>407</v>
      </c>
    </row>
    <row r="64" spans="1:6" x14ac:dyDescent="0.2">
      <c r="A64" t="s">
        <v>420</v>
      </c>
    </row>
    <row r="65" spans="1:6" x14ac:dyDescent="0.2">
      <c r="A65" t="s">
        <v>407</v>
      </c>
    </row>
    <row r="66" spans="1:6" x14ac:dyDescent="0.2">
      <c r="B66" t="s">
        <v>360</v>
      </c>
      <c r="C66" t="s">
        <v>408</v>
      </c>
      <c r="D66" t="s">
        <v>409</v>
      </c>
      <c r="E66" t="s">
        <v>410</v>
      </c>
      <c r="F66" t="s">
        <v>411</v>
      </c>
    </row>
    <row r="67" spans="1:6" x14ac:dyDescent="0.2">
      <c r="A67">
        <v>1</v>
      </c>
      <c r="B67" t="s">
        <v>421</v>
      </c>
      <c r="C67">
        <v>174960</v>
      </c>
      <c r="D67">
        <v>35392</v>
      </c>
      <c r="E67">
        <v>41780</v>
      </c>
      <c r="F67">
        <v>46983</v>
      </c>
    </row>
    <row r="68" spans="1:6" x14ac:dyDescent="0.2">
      <c r="A68">
        <v>2</v>
      </c>
      <c r="B68" t="s">
        <v>422</v>
      </c>
      <c r="C68">
        <v>32204685</v>
      </c>
      <c r="D68">
        <v>909376</v>
      </c>
      <c r="E68">
        <v>7258644</v>
      </c>
      <c r="F68">
        <v>12537868</v>
      </c>
    </row>
    <row r="69" spans="1:6" x14ac:dyDescent="0.2">
      <c r="A69">
        <v>3</v>
      </c>
      <c r="B69" t="s">
        <v>423</v>
      </c>
      <c r="C69">
        <v>1761369</v>
      </c>
      <c r="D69">
        <v>63592</v>
      </c>
      <c r="E69">
        <v>601638</v>
      </c>
      <c r="F69">
        <v>659577</v>
      </c>
    </row>
    <row r="70" spans="1:6" x14ac:dyDescent="0.2">
      <c r="A70">
        <v>4</v>
      </c>
      <c r="B70" t="s">
        <v>424</v>
      </c>
      <c r="C70">
        <v>6050070</v>
      </c>
      <c r="D70">
        <v>87381</v>
      </c>
      <c r="E70">
        <v>1291081</v>
      </c>
      <c r="F70">
        <v>2636907</v>
      </c>
    </row>
    <row r="71" spans="1:6" x14ac:dyDescent="0.2">
      <c r="A71">
        <v>5</v>
      </c>
      <c r="B71" t="s">
        <v>425</v>
      </c>
      <c r="C71">
        <v>6864019</v>
      </c>
      <c r="D71">
        <v>191529</v>
      </c>
      <c r="E71">
        <v>1626561</v>
      </c>
      <c r="F71">
        <v>2882439</v>
      </c>
    </row>
    <row r="72" spans="1:6" x14ac:dyDescent="0.2">
      <c r="A72">
        <v>6</v>
      </c>
      <c r="B72" t="s">
        <v>426</v>
      </c>
      <c r="C72">
        <v>4164081</v>
      </c>
      <c r="D72">
        <v>71388</v>
      </c>
      <c r="E72">
        <v>738432</v>
      </c>
      <c r="F72">
        <v>1863568</v>
      </c>
    </row>
    <row r="73" spans="1:6" x14ac:dyDescent="0.2">
      <c r="A73">
        <v>7</v>
      </c>
      <c r="B73" t="s">
        <v>27</v>
      </c>
      <c r="C73">
        <v>1064929</v>
      </c>
      <c r="D73">
        <v>9721</v>
      </c>
      <c r="E73">
        <v>292416</v>
      </c>
      <c r="F73">
        <v>494291</v>
      </c>
    </row>
    <row r="74" spans="1:6" x14ac:dyDescent="0.2">
      <c r="A74">
        <v>8</v>
      </c>
      <c r="B74" t="s">
        <v>29</v>
      </c>
      <c r="C74">
        <v>52284114</v>
      </c>
      <c r="D74" s="164">
        <v>1368378</v>
      </c>
      <c r="E74">
        <v>11850554</v>
      </c>
      <c r="F74">
        <v>21121634</v>
      </c>
    </row>
    <row r="77" spans="1:6" x14ac:dyDescent="0.2">
      <c r="A77" t="s">
        <v>407</v>
      </c>
    </row>
    <row r="78" spans="1:6" x14ac:dyDescent="0.2">
      <c r="A78" t="s">
        <v>427</v>
      </c>
    </row>
    <row r="79" spans="1:6" x14ac:dyDescent="0.2">
      <c r="A79" t="s">
        <v>407</v>
      </c>
    </row>
    <row r="80" spans="1:6" x14ac:dyDescent="0.2">
      <c r="B80" t="s">
        <v>360</v>
      </c>
      <c r="C80" t="s">
        <v>408</v>
      </c>
      <c r="D80" t="s">
        <v>409</v>
      </c>
      <c r="E80" t="s">
        <v>410</v>
      </c>
      <c r="F80" t="s">
        <v>411</v>
      </c>
    </row>
    <row r="81" spans="1:6" x14ac:dyDescent="0.2">
      <c r="A81">
        <v>1</v>
      </c>
      <c r="B81" t="s">
        <v>428</v>
      </c>
      <c r="C81">
        <v>8212489</v>
      </c>
      <c r="D81">
        <v>170081</v>
      </c>
      <c r="E81">
        <v>1754247</v>
      </c>
      <c r="F81">
        <v>3237888</v>
      </c>
    </row>
    <row r="82" spans="1:6" x14ac:dyDescent="0.2">
      <c r="A82">
        <v>2</v>
      </c>
      <c r="B82" t="s">
        <v>429</v>
      </c>
      <c r="C82">
        <v>11402895</v>
      </c>
      <c r="D82">
        <v>256159</v>
      </c>
      <c r="E82">
        <v>2519605</v>
      </c>
      <c r="F82">
        <v>4594224</v>
      </c>
    </row>
    <row r="83" spans="1:6" x14ac:dyDescent="0.2">
      <c r="A83">
        <v>3</v>
      </c>
      <c r="B83" t="s">
        <v>430</v>
      </c>
      <c r="C83">
        <v>9427247</v>
      </c>
      <c r="D83">
        <v>291907</v>
      </c>
      <c r="E83">
        <v>1983655</v>
      </c>
      <c r="F83">
        <v>3921688</v>
      </c>
    </row>
    <row r="84" spans="1:6" x14ac:dyDescent="0.2">
      <c r="A84">
        <v>4</v>
      </c>
      <c r="B84" t="s">
        <v>431</v>
      </c>
      <c r="C84">
        <v>12573954</v>
      </c>
      <c r="D84">
        <v>463815</v>
      </c>
      <c r="E84">
        <v>3238213</v>
      </c>
      <c r="F84">
        <v>4892208</v>
      </c>
    </row>
    <row r="85" spans="1:6" x14ac:dyDescent="0.2">
      <c r="A85">
        <v>5</v>
      </c>
      <c r="B85" t="s">
        <v>432</v>
      </c>
      <c r="C85">
        <v>10530759</v>
      </c>
      <c r="D85">
        <v>188909</v>
      </c>
      <c r="E85">
        <v>2318187</v>
      </c>
      <c r="F85">
        <v>4436641</v>
      </c>
    </row>
    <row r="86" spans="1:6" x14ac:dyDescent="0.2">
      <c r="A86">
        <v>6</v>
      </c>
      <c r="B86" t="s">
        <v>29</v>
      </c>
      <c r="C86">
        <v>52147345</v>
      </c>
      <c r="D86">
        <v>1370872</v>
      </c>
      <c r="E86">
        <v>11813907</v>
      </c>
      <c r="F86">
        <v>21082650</v>
      </c>
    </row>
    <row r="89" spans="1:6" x14ac:dyDescent="0.2">
      <c r="A89" t="s">
        <v>407</v>
      </c>
    </row>
    <row r="90" spans="1:6" x14ac:dyDescent="0.2">
      <c r="A90" t="s">
        <v>433</v>
      </c>
    </row>
    <row r="91" spans="1:6" x14ac:dyDescent="0.2">
      <c r="A91" t="s">
        <v>407</v>
      </c>
    </row>
    <row r="92" spans="1:6" x14ac:dyDescent="0.2">
      <c r="B92" t="s">
        <v>360</v>
      </c>
      <c r="C92" t="s">
        <v>408</v>
      </c>
      <c r="D92" t="s">
        <v>409</v>
      </c>
      <c r="E92" t="s">
        <v>410</v>
      </c>
      <c r="F92" t="s">
        <v>411</v>
      </c>
    </row>
    <row r="93" spans="1:6" x14ac:dyDescent="0.2">
      <c r="A93">
        <v>1</v>
      </c>
      <c r="B93" t="s">
        <v>434</v>
      </c>
      <c r="C93">
        <v>27665937</v>
      </c>
      <c r="D93">
        <v>1231652</v>
      </c>
      <c r="E93">
        <v>10371256</v>
      </c>
      <c r="F93">
        <v>16063029</v>
      </c>
    </row>
    <row r="94" spans="1:6" x14ac:dyDescent="0.2">
      <c r="A94">
        <v>2</v>
      </c>
      <c r="B94" t="s">
        <v>435</v>
      </c>
      <c r="C94">
        <v>4695726</v>
      </c>
      <c r="D94">
        <v>18469</v>
      </c>
      <c r="E94">
        <v>1078812</v>
      </c>
      <c r="F94">
        <v>3598219</v>
      </c>
    </row>
    <row r="95" spans="1:6" x14ac:dyDescent="0.2">
      <c r="A95">
        <v>3</v>
      </c>
      <c r="B95" t="s">
        <v>29</v>
      </c>
      <c r="C95">
        <v>32361663</v>
      </c>
      <c r="D95">
        <v>1250121</v>
      </c>
      <c r="E95">
        <v>11450068</v>
      </c>
      <c r="F95">
        <v>19661248</v>
      </c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589EE2-5327-2549-BD6A-BB189A2293AA}">
  <dimension ref="A1:G116"/>
  <sheetViews>
    <sheetView showGridLines="0" topLeftCell="A75" workbookViewId="0">
      <selection activeCell="D41" sqref="D41:D43"/>
    </sheetView>
  </sheetViews>
  <sheetFormatPr baseColWidth="10" defaultRowHeight="16" x14ac:dyDescent="0.2"/>
  <cols>
    <col min="1" max="1" width="52.1640625" style="8" bestFit="1" customWidth="1"/>
    <col min="2" max="2" width="11.1640625" style="8" bestFit="1" customWidth="1"/>
    <col min="3" max="3" width="10.6640625" style="8" hidden="1" customWidth="1"/>
    <col min="4" max="4" width="19.6640625" style="8" bestFit="1" customWidth="1"/>
    <col min="5" max="5" width="20.83203125" style="8" hidden="1" customWidth="1"/>
    <col min="6" max="6" width="17.1640625" style="8" bestFit="1" customWidth="1"/>
  </cols>
  <sheetData>
    <row r="1" spans="1:7" ht="17" thickBot="1" x14ac:dyDescent="0.25">
      <c r="A1" s="42" t="s">
        <v>189</v>
      </c>
    </row>
    <row r="2" spans="1:7" ht="18" thickBot="1" x14ac:dyDescent="0.25">
      <c r="A2" s="57" t="s">
        <v>140</v>
      </c>
      <c r="B2" s="58" t="s">
        <v>141</v>
      </c>
      <c r="C2" s="58" t="s">
        <v>95</v>
      </c>
      <c r="D2" s="59" t="s">
        <v>130</v>
      </c>
      <c r="E2" s="59" t="s">
        <v>131</v>
      </c>
      <c r="F2" s="60" t="s">
        <v>96</v>
      </c>
    </row>
    <row r="3" spans="1:7" x14ac:dyDescent="0.2">
      <c r="A3" s="193" t="s">
        <v>169</v>
      </c>
      <c r="B3" s="43" t="s">
        <v>139</v>
      </c>
      <c r="C3" s="44">
        <v>64.7</v>
      </c>
      <c r="D3" s="44">
        <v>71.599999999999994</v>
      </c>
      <c r="E3" s="44">
        <v>62.2</v>
      </c>
      <c r="F3" s="53">
        <v>23</v>
      </c>
    </row>
    <row r="4" spans="1:7" x14ac:dyDescent="0.2">
      <c r="A4" s="193"/>
      <c r="B4" s="43" t="s">
        <v>137</v>
      </c>
      <c r="C4" s="44">
        <v>34.700000000000003</v>
      </c>
      <c r="D4" s="44">
        <v>28.3</v>
      </c>
      <c r="E4" s="44">
        <v>36.700000000000003</v>
      </c>
      <c r="F4" s="49">
        <v>77</v>
      </c>
      <c r="G4" t="s">
        <v>180</v>
      </c>
    </row>
    <row r="5" spans="1:7" ht="17" thickBot="1" x14ac:dyDescent="0.25">
      <c r="A5" s="193"/>
      <c r="B5" s="43" t="s">
        <v>143</v>
      </c>
      <c r="C5" s="44">
        <v>0.6</v>
      </c>
      <c r="D5" s="44">
        <v>0.1</v>
      </c>
      <c r="E5" s="44">
        <v>1.1000000000000001</v>
      </c>
      <c r="F5" s="53">
        <v>0</v>
      </c>
    </row>
    <row r="6" spans="1:7" x14ac:dyDescent="0.2">
      <c r="A6" s="189" t="s">
        <v>170</v>
      </c>
      <c r="B6" s="125" t="s">
        <v>139</v>
      </c>
      <c r="C6" s="54">
        <v>24.3</v>
      </c>
      <c r="D6" s="54">
        <v>22.8</v>
      </c>
      <c r="E6" s="54">
        <v>23.7</v>
      </c>
      <c r="F6" s="48">
        <v>27.8</v>
      </c>
    </row>
    <row r="7" spans="1:7" x14ac:dyDescent="0.2">
      <c r="A7" s="190"/>
      <c r="B7" s="126" t="s">
        <v>137</v>
      </c>
      <c r="C7" s="40">
        <v>75.599999999999994</v>
      </c>
      <c r="D7" s="40">
        <v>77.099999999999994</v>
      </c>
      <c r="E7" s="40">
        <v>76.2</v>
      </c>
      <c r="F7" s="53">
        <v>72.2</v>
      </c>
    </row>
    <row r="8" spans="1:7" ht="17" thickBot="1" x14ac:dyDescent="0.25">
      <c r="A8" s="191"/>
      <c r="B8" s="127" t="s">
        <v>143</v>
      </c>
      <c r="C8" s="55">
        <v>0.1</v>
      </c>
      <c r="D8" s="55">
        <v>0.1</v>
      </c>
      <c r="E8" s="55">
        <v>0.1</v>
      </c>
      <c r="F8" s="52">
        <v>0</v>
      </c>
    </row>
    <row r="9" spans="1:7" x14ac:dyDescent="0.2">
      <c r="A9" s="192" t="s">
        <v>171</v>
      </c>
      <c r="B9" s="46" t="s">
        <v>139</v>
      </c>
      <c r="C9" s="47">
        <v>38.1</v>
      </c>
      <c r="D9" s="47">
        <v>27.3</v>
      </c>
      <c r="E9" s="47">
        <v>40.1</v>
      </c>
      <c r="F9" s="56">
        <v>46.5</v>
      </c>
      <c r="G9" t="s">
        <v>181</v>
      </c>
    </row>
    <row r="10" spans="1:7" x14ac:dyDescent="0.2">
      <c r="A10" s="193"/>
      <c r="B10" s="43" t="s">
        <v>137</v>
      </c>
      <c r="C10" s="44">
        <v>61.8</v>
      </c>
      <c r="D10" s="44">
        <v>72.599999999999994</v>
      </c>
      <c r="E10" s="44">
        <v>59.9</v>
      </c>
      <c r="F10" s="53">
        <v>53.5</v>
      </c>
    </row>
    <row r="11" spans="1:7" ht="17" thickBot="1" x14ac:dyDescent="0.25">
      <c r="A11" s="193"/>
      <c r="B11" s="43" t="s">
        <v>143</v>
      </c>
      <c r="C11" s="44">
        <v>0.1</v>
      </c>
      <c r="D11" s="44">
        <v>0.1</v>
      </c>
      <c r="E11" s="44">
        <v>0.1</v>
      </c>
      <c r="F11" s="53">
        <v>0</v>
      </c>
    </row>
    <row r="12" spans="1:7" x14ac:dyDescent="0.2">
      <c r="A12" s="189" t="s">
        <v>172</v>
      </c>
      <c r="B12" s="125" t="s">
        <v>139</v>
      </c>
      <c r="C12" s="54">
        <v>23.6</v>
      </c>
      <c r="D12" s="54">
        <v>30.8</v>
      </c>
      <c r="E12" s="54">
        <v>21.4</v>
      </c>
      <c r="F12" s="48">
        <v>3.8</v>
      </c>
      <c r="G12" t="s">
        <v>182</v>
      </c>
    </row>
    <row r="13" spans="1:7" x14ac:dyDescent="0.2">
      <c r="A13" s="190"/>
      <c r="B13" s="126" t="s">
        <v>137</v>
      </c>
      <c r="C13" s="40">
        <v>76.3</v>
      </c>
      <c r="D13" s="40">
        <v>69.099999999999994</v>
      </c>
      <c r="E13" s="40">
        <v>78.5</v>
      </c>
      <c r="F13" s="49">
        <v>96.2</v>
      </c>
    </row>
    <row r="14" spans="1:7" ht="17" thickBot="1" x14ac:dyDescent="0.25">
      <c r="A14" s="191"/>
      <c r="B14" s="127" t="s">
        <v>143</v>
      </c>
      <c r="C14" s="55">
        <v>0.2</v>
      </c>
      <c r="D14" s="55">
        <v>0.1</v>
      </c>
      <c r="E14" s="55">
        <v>0.1</v>
      </c>
      <c r="F14" s="52">
        <v>0</v>
      </c>
    </row>
    <row r="15" spans="1:7" x14ac:dyDescent="0.2">
      <c r="A15" s="192" t="s">
        <v>173</v>
      </c>
      <c r="B15" s="46" t="s">
        <v>139</v>
      </c>
      <c r="C15" s="47">
        <v>18.5</v>
      </c>
      <c r="D15" s="47">
        <v>16.8</v>
      </c>
      <c r="E15" s="47">
        <v>17.600000000000001</v>
      </c>
      <c r="F15" s="48">
        <v>1.2</v>
      </c>
    </row>
    <row r="16" spans="1:7" x14ac:dyDescent="0.2">
      <c r="A16" s="193"/>
      <c r="B16" s="43" t="s">
        <v>137</v>
      </c>
      <c r="C16" s="44">
        <v>81.2</v>
      </c>
      <c r="D16" s="44">
        <v>83.1</v>
      </c>
      <c r="E16" s="44">
        <v>82.3</v>
      </c>
      <c r="F16" s="49">
        <v>98.8</v>
      </c>
      <c r="G16" t="s">
        <v>183</v>
      </c>
    </row>
    <row r="17" spans="1:7" ht="17" thickBot="1" x14ac:dyDescent="0.25">
      <c r="A17" s="193"/>
      <c r="B17" s="43" t="s">
        <v>143</v>
      </c>
      <c r="C17" s="44">
        <v>0.4</v>
      </c>
      <c r="D17" s="44">
        <v>0.1</v>
      </c>
      <c r="E17" s="44">
        <v>0.1</v>
      </c>
      <c r="F17" s="53">
        <v>0</v>
      </c>
    </row>
    <row r="18" spans="1:7" x14ac:dyDescent="0.2">
      <c r="A18" s="189" t="s">
        <v>174</v>
      </c>
      <c r="B18" s="125" t="s">
        <v>139</v>
      </c>
      <c r="C18" s="54">
        <v>51.1</v>
      </c>
      <c r="D18" s="54">
        <v>47.4</v>
      </c>
      <c r="E18" s="54">
        <v>50.1</v>
      </c>
      <c r="F18" s="56">
        <v>93.4</v>
      </c>
    </row>
    <row r="19" spans="1:7" x14ac:dyDescent="0.2">
      <c r="A19" s="190"/>
      <c r="B19" s="126" t="s">
        <v>137</v>
      </c>
      <c r="C19" s="40">
        <v>48.9</v>
      </c>
      <c r="D19" s="40">
        <v>52.5</v>
      </c>
      <c r="E19" s="40">
        <v>49.8</v>
      </c>
      <c r="F19" s="53">
        <v>6.6</v>
      </c>
      <c r="G19" t="s">
        <v>184</v>
      </c>
    </row>
    <row r="20" spans="1:7" ht="17" thickBot="1" x14ac:dyDescent="0.25">
      <c r="A20" s="191"/>
      <c r="B20" s="127" t="s">
        <v>143</v>
      </c>
      <c r="C20" s="55">
        <v>0.1</v>
      </c>
      <c r="D20" s="55">
        <v>0.1</v>
      </c>
      <c r="E20" s="55">
        <v>0</v>
      </c>
      <c r="F20" s="52">
        <v>0</v>
      </c>
    </row>
    <row r="21" spans="1:7" x14ac:dyDescent="0.2">
      <c r="A21" s="192" t="s">
        <v>175</v>
      </c>
      <c r="B21" s="46" t="s">
        <v>139</v>
      </c>
      <c r="C21" s="47">
        <v>16.3</v>
      </c>
      <c r="D21" s="47">
        <v>28.2</v>
      </c>
      <c r="E21" s="47">
        <v>14.9</v>
      </c>
      <c r="F21" s="48">
        <v>13.2</v>
      </c>
    </row>
    <row r="22" spans="1:7" x14ac:dyDescent="0.2">
      <c r="A22" s="193"/>
      <c r="B22" s="43" t="s">
        <v>137</v>
      </c>
      <c r="C22" s="44">
        <v>83.2</v>
      </c>
      <c r="D22" s="44">
        <v>71.7</v>
      </c>
      <c r="E22" s="44">
        <v>84.7</v>
      </c>
      <c r="F22" s="53">
        <v>86.8</v>
      </c>
    </row>
    <row r="23" spans="1:7" ht="17" thickBot="1" x14ac:dyDescent="0.25">
      <c r="A23" s="193"/>
      <c r="B23" s="43" t="s">
        <v>143</v>
      </c>
      <c r="C23" s="44">
        <v>0.5</v>
      </c>
      <c r="D23" s="44">
        <v>0.2</v>
      </c>
      <c r="E23" s="44">
        <v>0.4</v>
      </c>
      <c r="F23" s="53">
        <v>0</v>
      </c>
    </row>
    <row r="24" spans="1:7" x14ac:dyDescent="0.2">
      <c r="A24" s="189" t="s">
        <v>176</v>
      </c>
      <c r="B24" s="125" t="s">
        <v>139</v>
      </c>
      <c r="C24" s="54">
        <v>38.4</v>
      </c>
      <c r="D24" s="54">
        <v>26.9</v>
      </c>
      <c r="E24" s="54">
        <v>40.1</v>
      </c>
      <c r="F24" s="56">
        <v>49.1</v>
      </c>
      <c r="G24" t="s">
        <v>185</v>
      </c>
    </row>
    <row r="25" spans="1:7" x14ac:dyDescent="0.2">
      <c r="A25" s="190"/>
      <c r="B25" s="126" t="s">
        <v>137</v>
      </c>
      <c r="C25" s="40">
        <v>60.9</v>
      </c>
      <c r="D25" s="40">
        <v>71.7</v>
      </c>
      <c r="E25" s="40">
        <v>59.6</v>
      </c>
      <c r="F25" s="53">
        <v>23</v>
      </c>
    </row>
    <row r="26" spans="1:7" ht="17" thickBot="1" x14ac:dyDescent="0.25">
      <c r="A26" s="191"/>
      <c r="B26" s="127" t="s">
        <v>143</v>
      </c>
      <c r="C26" s="55">
        <v>0.7</v>
      </c>
      <c r="D26" s="55">
        <v>1.4</v>
      </c>
      <c r="E26" s="55">
        <v>0.2</v>
      </c>
      <c r="F26" s="52">
        <v>27.8</v>
      </c>
    </row>
    <row r="27" spans="1:7" x14ac:dyDescent="0.2">
      <c r="A27" s="192" t="s">
        <v>177</v>
      </c>
      <c r="B27" s="46" t="s">
        <v>139</v>
      </c>
      <c r="C27" s="47">
        <v>42.1</v>
      </c>
      <c r="D27" s="47">
        <v>28.3</v>
      </c>
      <c r="E27" s="47">
        <v>41.7</v>
      </c>
      <c r="F27" s="56">
        <v>91.8</v>
      </c>
      <c r="G27" t="s">
        <v>187</v>
      </c>
    </row>
    <row r="28" spans="1:7" x14ac:dyDescent="0.2">
      <c r="A28" s="193"/>
      <c r="B28" s="43" t="s">
        <v>137</v>
      </c>
      <c r="C28" s="44">
        <v>55.9</v>
      </c>
      <c r="D28" s="44">
        <v>70.8</v>
      </c>
      <c r="E28" s="44">
        <v>55.8</v>
      </c>
      <c r="F28" s="53">
        <v>8.1999999999999993</v>
      </c>
    </row>
    <row r="29" spans="1:7" ht="17" thickBot="1" x14ac:dyDescent="0.25">
      <c r="A29" s="193"/>
      <c r="B29" s="43" t="s">
        <v>143</v>
      </c>
      <c r="C29" s="44">
        <v>2</v>
      </c>
      <c r="D29" s="44">
        <v>0.8</v>
      </c>
      <c r="E29" s="44">
        <v>2.5</v>
      </c>
      <c r="F29" s="53">
        <v>0</v>
      </c>
    </row>
    <row r="30" spans="1:7" x14ac:dyDescent="0.2">
      <c r="A30" s="189" t="s">
        <v>178</v>
      </c>
      <c r="B30" s="125" t="s">
        <v>139</v>
      </c>
      <c r="C30" s="54">
        <v>16.3</v>
      </c>
      <c r="D30" s="54">
        <v>13.3</v>
      </c>
      <c r="E30" s="54">
        <v>13.5</v>
      </c>
      <c r="F30" s="48">
        <v>0</v>
      </c>
    </row>
    <row r="31" spans="1:7" x14ac:dyDescent="0.2">
      <c r="A31" s="190"/>
      <c r="B31" s="126" t="s">
        <v>137</v>
      </c>
      <c r="C31" s="40">
        <v>83.6</v>
      </c>
      <c r="D31" s="40">
        <v>86.6</v>
      </c>
      <c r="E31" s="40">
        <v>86.3</v>
      </c>
      <c r="F31" s="49">
        <v>100</v>
      </c>
      <c r="G31" t="s">
        <v>186</v>
      </c>
    </row>
    <row r="32" spans="1:7" ht="17" thickBot="1" x14ac:dyDescent="0.25">
      <c r="A32" s="191"/>
      <c r="B32" s="127" t="s">
        <v>143</v>
      </c>
      <c r="C32" s="55">
        <v>0.1</v>
      </c>
      <c r="D32" s="55">
        <v>0.1</v>
      </c>
      <c r="E32" s="55">
        <v>0.1</v>
      </c>
      <c r="F32" s="52">
        <v>0</v>
      </c>
    </row>
    <row r="33" spans="1:7" x14ac:dyDescent="0.2">
      <c r="A33" s="192" t="s">
        <v>179</v>
      </c>
      <c r="B33" s="46" t="s">
        <v>139</v>
      </c>
      <c r="C33" s="47">
        <v>20.2</v>
      </c>
      <c r="D33" s="47">
        <v>18.8</v>
      </c>
      <c r="E33" s="47">
        <v>23.6</v>
      </c>
      <c r="F33" s="48">
        <v>8.6999999999999993</v>
      </c>
    </row>
    <row r="34" spans="1:7" x14ac:dyDescent="0.2">
      <c r="A34" s="193"/>
      <c r="B34" s="43" t="s">
        <v>137</v>
      </c>
      <c r="C34" s="44">
        <v>79.5</v>
      </c>
      <c r="D34" s="44">
        <v>79.3</v>
      </c>
      <c r="E34" s="44">
        <v>76.3</v>
      </c>
      <c r="F34" s="49">
        <v>91.3</v>
      </c>
      <c r="G34" t="s">
        <v>188</v>
      </c>
    </row>
    <row r="35" spans="1:7" ht="17" thickBot="1" x14ac:dyDescent="0.25">
      <c r="A35" s="193"/>
      <c r="B35" s="43" t="s">
        <v>143</v>
      </c>
      <c r="C35" s="44">
        <v>0.3</v>
      </c>
      <c r="D35" s="44">
        <v>1.9</v>
      </c>
      <c r="E35" s="44">
        <v>0.1</v>
      </c>
      <c r="F35" s="53">
        <v>0</v>
      </c>
    </row>
    <row r="36" spans="1:7" x14ac:dyDescent="0.2">
      <c r="A36" s="189" t="s">
        <v>155</v>
      </c>
      <c r="B36" s="125" t="s">
        <v>139</v>
      </c>
      <c r="C36" s="54">
        <v>0.9</v>
      </c>
      <c r="D36" s="54">
        <v>1.4</v>
      </c>
      <c r="E36" s="54">
        <v>1.4</v>
      </c>
      <c r="F36" s="48">
        <v>0</v>
      </c>
    </row>
    <row r="37" spans="1:7" ht="17" thickBot="1" x14ac:dyDescent="0.25">
      <c r="A37" s="191"/>
      <c r="B37" s="127" t="s">
        <v>137</v>
      </c>
      <c r="C37" s="55">
        <v>99.1</v>
      </c>
      <c r="D37" s="55">
        <v>98.6</v>
      </c>
      <c r="E37" s="55">
        <v>98.6</v>
      </c>
      <c r="F37" s="52">
        <v>100</v>
      </c>
    </row>
    <row r="38" spans="1:7" x14ac:dyDescent="0.2">
      <c r="A38" s="41"/>
      <c r="C38" s="40"/>
      <c r="D38" s="40"/>
      <c r="E38" s="40"/>
      <c r="F38" s="40"/>
    </row>
    <row r="39" spans="1:7" ht="17" thickBot="1" x14ac:dyDescent="0.25">
      <c r="A39" s="42" t="s">
        <v>167</v>
      </c>
    </row>
    <row r="40" spans="1:7" ht="18" thickBot="1" x14ac:dyDescent="0.25">
      <c r="A40" s="57" t="s">
        <v>140</v>
      </c>
      <c r="B40" s="58" t="s">
        <v>141</v>
      </c>
      <c r="C40" s="58" t="s">
        <v>95</v>
      </c>
      <c r="D40" s="59" t="s">
        <v>130</v>
      </c>
      <c r="E40" s="59" t="s">
        <v>131</v>
      </c>
      <c r="F40" s="60" t="s">
        <v>96</v>
      </c>
    </row>
    <row r="41" spans="1:7" x14ac:dyDescent="0.2">
      <c r="A41" s="193" t="s">
        <v>142</v>
      </c>
      <c r="B41" s="43" t="s">
        <v>139</v>
      </c>
      <c r="C41" s="44">
        <v>26.4</v>
      </c>
      <c r="D41" s="44">
        <v>25.8</v>
      </c>
      <c r="E41" s="44">
        <v>27.3</v>
      </c>
      <c r="F41" s="49">
        <v>31.1</v>
      </c>
    </row>
    <row r="42" spans="1:7" x14ac:dyDescent="0.2">
      <c r="A42" s="193"/>
      <c r="B42" s="43" t="s">
        <v>137</v>
      </c>
      <c r="C42" s="44">
        <v>72.400000000000006</v>
      </c>
      <c r="D42" s="44">
        <v>74.099999999999994</v>
      </c>
      <c r="E42" s="44">
        <v>71.099999999999994</v>
      </c>
      <c r="F42" s="53">
        <v>66.7</v>
      </c>
      <c r="G42" t="s">
        <v>190</v>
      </c>
    </row>
    <row r="43" spans="1:7" ht="17" thickBot="1" x14ac:dyDescent="0.25">
      <c r="A43" s="193"/>
      <c r="B43" s="43" t="s">
        <v>143</v>
      </c>
      <c r="C43" s="44">
        <v>1.2</v>
      </c>
      <c r="D43" s="44">
        <v>0.1</v>
      </c>
      <c r="E43" s="44">
        <v>1.6</v>
      </c>
      <c r="F43" s="53">
        <v>2.1</v>
      </c>
    </row>
    <row r="44" spans="1:7" x14ac:dyDescent="0.2">
      <c r="A44" s="189" t="s">
        <v>144</v>
      </c>
      <c r="B44" s="125" t="s">
        <v>139</v>
      </c>
      <c r="C44" s="54">
        <v>28</v>
      </c>
      <c r="D44" s="54">
        <v>30.4</v>
      </c>
      <c r="E44" s="54">
        <v>30.2</v>
      </c>
      <c r="F44" s="48">
        <v>21.5</v>
      </c>
    </row>
    <row r="45" spans="1:7" x14ac:dyDescent="0.2">
      <c r="A45" s="190"/>
      <c r="B45" s="126" t="s">
        <v>137</v>
      </c>
      <c r="C45" s="40">
        <v>71.2</v>
      </c>
      <c r="D45" s="40">
        <v>69.2</v>
      </c>
      <c r="E45" s="40">
        <v>68.099999999999994</v>
      </c>
      <c r="F45" s="49">
        <v>78.5</v>
      </c>
      <c r="G45" t="s">
        <v>200</v>
      </c>
    </row>
    <row r="46" spans="1:7" ht="17" thickBot="1" x14ac:dyDescent="0.25">
      <c r="A46" s="191"/>
      <c r="B46" s="127" t="s">
        <v>143</v>
      </c>
      <c r="C46" s="55">
        <v>0.8</v>
      </c>
      <c r="D46" s="55">
        <v>0.5</v>
      </c>
      <c r="E46" s="55">
        <v>1.7</v>
      </c>
      <c r="F46" s="52">
        <v>0</v>
      </c>
    </row>
    <row r="47" spans="1:7" x14ac:dyDescent="0.2">
      <c r="A47" s="193" t="s">
        <v>145</v>
      </c>
      <c r="B47" s="43" t="s">
        <v>139</v>
      </c>
      <c r="C47" s="44">
        <v>60</v>
      </c>
      <c r="D47" s="44">
        <v>70.2</v>
      </c>
      <c r="E47" s="44">
        <v>56.9</v>
      </c>
      <c r="F47" s="53">
        <v>75.7</v>
      </c>
    </row>
    <row r="48" spans="1:7" x14ac:dyDescent="0.2">
      <c r="A48" s="193"/>
      <c r="B48" s="43" t="s">
        <v>137</v>
      </c>
      <c r="C48" s="44">
        <v>39.700000000000003</v>
      </c>
      <c r="D48" s="44">
        <v>29.6</v>
      </c>
      <c r="E48" s="44">
        <v>42.4</v>
      </c>
      <c r="F48" s="49">
        <v>24.3</v>
      </c>
      <c r="G48" t="s">
        <v>201</v>
      </c>
    </row>
    <row r="49" spans="1:7" ht="17" thickBot="1" x14ac:dyDescent="0.25">
      <c r="A49" s="193"/>
      <c r="B49" s="43" t="s">
        <v>143</v>
      </c>
      <c r="C49" s="44">
        <v>0.3</v>
      </c>
      <c r="D49" s="44">
        <v>0.1</v>
      </c>
      <c r="E49" s="44">
        <v>0.6</v>
      </c>
      <c r="F49" s="53">
        <v>0</v>
      </c>
    </row>
    <row r="50" spans="1:7" x14ac:dyDescent="0.2">
      <c r="A50" s="189" t="s">
        <v>146</v>
      </c>
      <c r="B50" s="125" t="s">
        <v>139</v>
      </c>
      <c r="C50" s="54">
        <v>55.9</v>
      </c>
      <c r="D50" s="54">
        <v>62.8</v>
      </c>
      <c r="E50" s="54">
        <v>55.6</v>
      </c>
      <c r="F50" s="56">
        <v>67.8</v>
      </c>
      <c r="G50" t="s">
        <v>202</v>
      </c>
    </row>
    <row r="51" spans="1:7" x14ac:dyDescent="0.2">
      <c r="A51" s="190"/>
      <c r="B51" s="126" t="s">
        <v>137</v>
      </c>
      <c r="C51" s="40">
        <v>43.8</v>
      </c>
      <c r="D51" s="40">
        <v>37</v>
      </c>
      <c r="E51" s="40">
        <v>43.7</v>
      </c>
      <c r="F51" s="53">
        <v>32.200000000000003</v>
      </c>
    </row>
    <row r="52" spans="1:7" ht="17" thickBot="1" x14ac:dyDescent="0.25">
      <c r="A52" s="191"/>
      <c r="B52" s="127" t="s">
        <v>143</v>
      </c>
      <c r="C52" s="55">
        <v>0.3</v>
      </c>
      <c r="D52" s="55">
        <v>0.2</v>
      </c>
      <c r="E52" s="55">
        <v>0.7</v>
      </c>
      <c r="F52" s="52">
        <v>0</v>
      </c>
    </row>
    <row r="53" spans="1:7" x14ac:dyDescent="0.2">
      <c r="A53" s="193" t="s">
        <v>147</v>
      </c>
      <c r="B53" s="43" t="s">
        <v>139</v>
      </c>
      <c r="C53" s="105">
        <v>21.5</v>
      </c>
      <c r="D53" s="105">
        <v>19.3</v>
      </c>
      <c r="E53" s="105">
        <v>22.5</v>
      </c>
      <c r="F53" s="49">
        <v>23.1</v>
      </c>
      <c r="G53" t="s">
        <v>217</v>
      </c>
    </row>
    <row r="54" spans="1:7" x14ac:dyDescent="0.2">
      <c r="A54" s="193"/>
      <c r="B54" s="43" t="s">
        <v>137</v>
      </c>
      <c r="C54" s="44">
        <v>78.2</v>
      </c>
      <c r="D54" s="44">
        <v>80.599999999999994</v>
      </c>
      <c r="E54" s="44">
        <v>76.8</v>
      </c>
      <c r="F54" s="53">
        <v>76.900000000000006</v>
      </c>
    </row>
    <row r="55" spans="1:7" ht="17" thickBot="1" x14ac:dyDescent="0.25">
      <c r="A55" s="193"/>
      <c r="B55" s="43" t="s">
        <v>143</v>
      </c>
      <c r="C55" s="44">
        <v>0.3</v>
      </c>
      <c r="D55" s="44">
        <v>0.1</v>
      </c>
      <c r="E55" s="44">
        <v>0.6</v>
      </c>
      <c r="F55" s="53">
        <v>0</v>
      </c>
    </row>
    <row r="56" spans="1:7" x14ac:dyDescent="0.2">
      <c r="A56" s="189" t="s">
        <v>148</v>
      </c>
      <c r="B56" s="125" t="s">
        <v>139</v>
      </c>
      <c r="C56" s="54">
        <v>21.3</v>
      </c>
      <c r="D56" s="54">
        <v>17.5</v>
      </c>
      <c r="E56" s="54">
        <v>20.2</v>
      </c>
      <c r="F56" s="56">
        <v>22.8</v>
      </c>
    </row>
    <row r="57" spans="1:7" x14ac:dyDescent="0.2">
      <c r="A57" s="190"/>
      <c r="B57" s="126" t="s">
        <v>137</v>
      </c>
      <c r="C57" s="45">
        <v>78.2</v>
      </c>
      <c r="D57" s="45">
        <v>82.3</v>
      </c>
      <c r="E57" s="45">
        <v>79.099999999999994</v>
      </c>
      <c r="F57" s="53">
        <v>75.2</v>
      </c>
      <c r="G57" t="s">
        <v>216</v>
      </c>
    </row>
    <row r="58" spans="1:7" ht="17" thickBot="1" x14ac:dyDescent="0.25">
      <c r="A58" s="191"/>
      <c r="B58" s="127" t="s">
        <v>143</v>
      </c>
      <c r="C58" s="55">
        <v>0.5</v>
      </c>
      <c r="D58" s="55">
        <v>0.2</v>
      </c>
      <c r="E58" s="55">
        <v>0.6</v>
      </c>
      <c r="F58" s="52">
        <v>2</v>
      </c>
    </row>
    <row r="59" spans="1:7" x14ac:dyDescent="0.2">
      <c r="A59" s="193" t="s">
        <v>149</v>
      </c>
      <c r="B59" s="43" t="s">
        <v>139</v>
      </c>
      <c r="C59" s="44">
        <v>12.2</v>
      </c>
      <c r="D59" s="44">
        <v>11.9</v>
      </c>
      <c r="E59" s="44">
        <v>9.6999999999999993</v>
      </c>
      <c r="F59" s="53">
        <v>5.6</v>
      </c>
    </row>
    <row r="60" spans="1:7" x14ac:dyDescent="0.2">
      <c r="A60" s="193"/>
      <c r="B60" s="43" t="s">
        <v>137</v>
      </c>
      <c r="C60" s="44">
        <v>87.5</v>
      </c>
      <c r="D60" s="44">
        <v>87.7</v>
      </c>
      <c r="E60" s="44">
        <v>89.6</v>
      </c>
      <c r="F60" s="49">
        <v>94.4</v>
      </c>
      <c r="G60" t="s">
        <v>204</v>
      </c>
    </row>
    <row r="61" spans="1:7" ht="17" thickBot="1" x14ac:dyDescent="0.25">
      <c r="A61" s="193"/>
      <c r="B61" s="43" t="s">
        <v>143</v>
      </c>
      <c r="C61" s="44">
        <v>0.3</v>
      </c>
      <c r="D61" s="44">
        <v>0.4</v>
      </c>
      <c r="E61" s="44">
        <v>0.6</v>
      </c>
      <c r="F61" s="53">
        <v>0</v>
      </c>
    </row>
    <row r="62" spans="1:7" x14ac:dyDescent="0.2">
      <c r="A62" s="189" t="s">
        <v>150</v>
      </c>
      <c r="B62" s="125" t="s">
        <v>139</v>
      </c>
      <c r="C62" s="54">
        <v>12.2</v>
      </c>
      <c r="D62" s="54">
        <v>10.4</v>
      </c>
      <c r="E62" s="54">
        <v>14.2</v>
      </c>
      <c r="F62" s="48">
        <v>8.9</v>
      </c>
    </row>
    <row r="63" spans="1:7" x14ac:dyDescent="0.2">
      <c r="A63" s="190"/>
      <c r="B63" s="126" t="s">
        <v>137</v>
      </c>
      <c r="C63" s="40">
        <v>87.6</v>
      </c>
      <c r="D63" s="40">
        <v>89.5</v>
      </c>
      <c r="E63" s="40">
        <v>85.2</v>
      </c>
      <c r="F63" s="49">
        <v>91.1</v>
      </c>
      <c r="G63" t="s">
        <v>203</v>
      </c>
    </row>
    <row r="64" spans="1:7" ht="17" thickBot="1" x14ac:dyDescent="0.25">
      <c r="A64" s="191"/>
      <c r="B64" s="127" t="s">
        <v>143</v>
      </c>
      <c r="C64" s="55">
        <v>0.3</v>
      </c>
      <c r="D64" s="55">
        <v>0.1</v>
      </c>
      <c r="E64" s="55">
        <v>0.6</v>
      </c>
      <c r="F64" s="52">
        <v>0</v>
      </c>
    </row>
    <row r="65" spans="1:7" x14ac:dyDescent="0.2">
      <c r="A65" s="193" t="s">
        <v>151</v>
      </c>
      <c r="B65" s="43" t="s">
        <v>139</v>
      </c>
      <c r="C65" s="44">
        <v>5</v>
      </c>
      <c r="D65" s="44">
        <v>3.4</v>
      </c>
      <c r="E65" s="44">
        <v>6.9</v>
      </c>
      <c r="F65" s="53">
        <v>2.2999999999999998</v>
      </c>
    </row>
    <row r="66" spans="1:7" x14ac:dyDescent="0.2">
      <c r="A66" s="193"/>
      <c r="B66" s="43" t="s">
        <v>137</v>
      </c>
      <c r="C66" s="44">
        <v>94.8</v>
      </c>
      <c r="D66" s="44">
        <v>96.5</v>
      </c>
      <c r="E66" s="44">
        <v>92.5</v>
      </c>
      <c r="F66" s="49">
        <v>97.7</v>
      </c>
      <c r="G66" t="s">
        <v>203</v>
      </c>
    </row>
    <row r="67" spans="1:7" ht="17" thickBot="1" x14ac:dyDescent="0.25">
      <c r="A67" s="193"/>
      <c r="B67" s="43" t="s">
        <v>143</v>
      </c>
      <c r="C67" s="44">
        <v>0.3</v>
      </c>
      <c r="D67" s="44">
        <v>0.1</v>
      </c>
      <c r="E67" s="44">
        <v>0.6</v>
      </c>
      <c r="F67" s="53">
        <v>0</v>
      </c>
    </row>
    <row r="68" spans="1:7" x14ac:dyDescent="0.2">
      <c r="A68" s="189" t="s">
        <v>152</v>
      </c>
      <c r="B68" s="125" t="s">
        <v>139</v>
      </c>
      <c r="C68" s="54">
        <v>27.2</v>
      </c>
      <c r="D68" s="54">
        <v>28.6</v>
      </c>
      <c r="E68" s="54">
        <v>24</v>
      </c>
      <c r="F68" s="56">
        <v>32.200000000000003</v>
      </c>
    </row>
    <row r="69" spans="1:7" x14ac:dyDescent="0.2">
      <c r="A69" s="190"/>
      <c r="B69" s="126" t="s">
        <v>137</v>
      </c>
      <c r="C69" s="40">
        <v>72.5</v>
      </c>
      <c r="D69" s="40">
        <v>71.3</v>
      </c>
      <c r="E69" s="40">
        <v>75.400000000000006</v>
      </c>
      <c r="F69" s="53">
        <v>67.8</v>
      </c>
      <c r="G69" t="s">
        <v>205</v>
      </c>
    </row>
    <row r="70" spans="1:7" ht="17" thickBot="1" x14ac:dyDescent="0.25">
      <c r="A70" s="191"/>
      <c r="B70" s="127" t="s">
        <v>143</v>
      </c>
      <c r="C70" s="55">
        <v>0.3</v>
      </c>
      <c r="D70" s="55">
        <v>0.1</v>
      </c>
      <c r="E70" s="55">
        <v>0.6</v>
      </c>
      <c r="F70" s="52">
        <v>0</v>
      </c>
    </row>
    <row r="71" spans="1:7" x14ac:dyDescent="0.2">
      <c r="A71" s="193" t="s">
        <v>153</v>
      </c>
      <c r="B71" s="43" t="s">
        <v>139</v>
      </c>
      <c r="C71" s="44">
        <v>17.8</v>
      </c>
      <c r="D71" s="44">
        <v>23</v>
      </c>
      <c r="E71" s="44">
        <v>12.2</v>
      </c>
      <c r="F71" s="53">
        <v>18.600000000000001</v>
      </c>
    </row>
    <row r="72" spans="1:7" x14ac:dyDescent="0.2">
      <c r="A72" s="193"/>
      <c r="B72" s="43" t="s">
        <v>137</v>
      </c>
      <c r="C72" s="44">
        <v>82</v>
      </c>
      <c r="D72" s="44">
        <v>76.900000000000006</v>
      </c>
      <c r="E72" s="44">
        <v>87.1</v>
      </c>
      <c r="F72" s="53">
        <v>81.400000000000006</v>
      </c>
    </row>
    <row r="73" spans="1:7" ht="17" thickBot="1" x14ac:dyDescent="0.25">
      <c r="A73" s="193"/>
      <c r="B73" s="43" t="s">
        <v>143</v>
      </c>
      <c r="C73" s="44">
        <v>0.3</v>
      </c>
      <c r="D73" s="44">
        <v>0.1</v>
      </c>
      <c r="E73" s="44">
        <v>0.6</v>
      </c>
      <c r="F73" s="53">
        <v>0</v>
      </c>
    </row>
    <row r="74" spans="1:7" x14ac:dyDescent="0.2">
      <c r="A74" s="189" t="s">
        <v>154</v>
      </c>
      <c r="B74" s="125" t="s">
        <v>139</v>
      </c>
      <c r="C74" s="54">
        <v>7.3</v>
      </c>
      <c r="D74" s="54">
        <v>8.6</v>
      </c>
      <c r="E74" s="54">
        <v>8.3000000000000007</v>
      </c>
      <c r="F74" s="56">
        <v>4</v>
      </c>
      <c r="G74" t="s">
        <v>206</v>
      </c>
    </row>
    <row r="75" spans="1:7" x14ac:dyDescent="0.2">
      <c r="A75" s="190"/>
      <c r="B75" s="126" t="s">
        <v>137</v>
      </c>
      <c r="C75" s="40">
        <v>92.3</v>
      </c>
      <c r="D75" s="40">
        <v>91</v>
      </c>
      <c r="E75" s="40">
        <v>91.1</v>
      </c>
      <c r="F75" s="53">
        <v>96</v>
      </c>
    </row>
    <row r="76" spans="1:7" ht="17" thickBot="1" x14ac:dyDescent="0.25">
      <c r="A76" s="191"/>
      <c r="B76" s="127" t="s">
        <v>143</v>
      </c>
      <c r="C76" s="55">
        <v>0.4</v>
      </c>
      <c r="D76" s="55">
        <v>0.4</v>
      </c>
      <c r="E76" s="55">
        <v>0.6</v>
      </c>
      <c r="F76" s="52">
        <v>0</v>
      </c>
    </row>
    <row r="77" spans="1:7" x14ac:dyDescent="0.2">
      <c r="A77" s="192" t="s">
        <v>155</v>
      </c>
      <c r="B77" s="46" t="s">
        <v>139</v>
      </c>
      <c r="C77" s="47">
        <v>8.5</v>
      </c>
      <c r="D77" s="47">
        <v>5.7</v>
      </c>
      <c r="E77" s="47">
        <v>10.5</v>
      </c>
      <c r="F77" s="61">
        <v>5.5</v>
      </c>
    </row>
    <row r="78" spans="1:7" ht="17" thickBot="1" x14ac:dyDescent="0.25">
      <c r="A78" s="194"/>
      <c r="B78" s="50" t="s">
        <v>137</v>
      </c>
      <c r="C78" s="51">
        <v>91.5</v>
      </c>
      <c r="D78" s="51">
        <v>94.3</v>
      </c>
      <c r="E78" s="51">
        <v>89.5</v>
      </c>
      <c r="F78" s="62">
        <v>94.5</v>
      </c>
    </row>
    <row r="80" spans="1:7" ht="17" thickBot="1" x14ac:dyDescent="0.25">
      <c r="A80" s="42" t="s">
        <v>207</v>
      </c>
    </row>
    <row r="81" spans="1:7" ht="18" thickBot="1" x14ac:dyDescent="0.25">
      <c r="A81" s="57" t="s">
        <v>140</v>
      </c>
      <c r="B81" s="58" t="s">
        <v>141</v>
      </c>
      <c r="C81" s="58" t="s">
        <v>95</v>
      </c>
      <c r="D81" s="59" t="s">
        <v>130</v>
      </c>
      <c r="E81" s="59" t="s">
        <v>131</v>
      </c>
      <c r="F81" s="60" t="s">
        <v>96</v>
      </c>
    </row>
    <row r="82" spans="1:7" x14ac:dyDescent="0.2">
      <c r="A82" s="193" t="s">
        <v>156</v>
      </c>
      <c r="B82" s="43" t="s">
        <v>139</v>
      </c>
      <c r="C82" s="44">
        <v>18.8</v>
      </c>
      <c r="D82" s="44">
        <v>19.399999999999999</v>
      </c>
      <c r="E82" s="44">
        <v>17.100000000000001</v>
      </c>
      <c r="F82" s="49">
        <v>25</v>
      </c>
      <c r="G82" t="s">
        <v>208</v>
      </c>
    </row>
    <row r="83" spans="1:7" x14ac:dyDescent="0.2">
      <c r="A83" s="193"/>
      <c r="B83" s="43" t="s">
        <v>137</v>
      </c>
      <c r="C83" s="44">
        <v>80.3</v>
      </c>
      <c r="D83" s="44">
        <v>80.2</v>
      </c>
      <c r="E83" s="44">
        <v>81.099999999999994</v>
      </c>
      <c r="F83" s="53">
        <v>75</v>
      </c>
    </row>
    <row r="84" spans="1:7" ht="17" thickBot="1" x14ac:dyDescent="0.25">
      <c r="A84" s="193"/>
      <c r="B84" s="43" t="s">
        <v>143</v>
      </c>
      <c r="C84" s="44">
        <v>0.9</v>
      </c>
      <c r="D84" s="44">
        <v>0.4</v>
      </c>
      <c r="E84" s="44">
        <v>1.8</v>
      </c>
      <c r="F84" s="53">
        <v>0</v>
      </c>
    </row>
    <row r="85" spans="1:7" x14ac:dyDescent="0.2">
      <c r="A85" s="189" t="s">
        <v>157</v>
      </c>
      <c r="B85" s="125" t="s">
        <v>139</v>
      </c>
      <c r="C85" s="54">
        <v>16.8</v>
      </c>
      <c r="D85" s="54">
        <v>14</v>
      </c>
      <c r="E85" s="54">
        <v>17.100000000000001</v>
      </c>
      <c r="F85" s="48">
        <v>13.4</v>
      </c>
    </row>
    <row r="86" spans="1:7" x14ac:dyDescent="0.2">
      <c r="A86" s="190"/>
      <c r="B86" s="126" t="s">
        <v>137</v>
      </c>
      <c r="C86" s="40">
        <v>81.2</v>
      </c>
      <c r="D86" s="40">
        <v>84.4</v>
      </c>
      <c r="E86" s="40">
        <v>79.900000000000006</v>
      </c>
      <c r="F86" s="53">
        <v>85.8</v>
      </c>
    </row>
    <row r="87" spans="1:7" ht="17" thickBot="1" x14ac:dyDescent="0.25">
      <c r="A87" s="191"/>
      <c r="B87" s="127" t="s">
        <v>143</v>
      </c>
      <c r="C87" s="55">
        <v>2</v>
      </c>
      <c r="D87" s="55">
        <v>1.6</v>
      </c>
      <c r="E87" s="55">
        <v>2.9</v>
      </c>
      <c r="F87" s="52">
        <v>0.9</v>
      </c>
    </row>
    <row r="88" spans="1:7" x14ac:dyDescent="0.2">
      <c r="A88" s="193" t="s">
        <v>158</v>
      </c>
      <c r="B88" s="43" t="s">
        <v>139</v>
      </c>
      <c r="C88" s="44">
        <v>4.2</v>
      </c>
      <c r="D88" s="44">
        <v>5.7</v>
      </c>
      <c r="E88" s="44">
        <v>4.2</v>
      </c>
      <c r="F88" s="53">
        <v>6.1</v>
      </c>
    </row>
    <row r="89" spans="1:7" x14ac:dyDescent="0.2">
      <c r="A89" s="193"/>
      <c r="B89" s="43" t="s">
        <v>137</v>
      </c>
      <c r="C89" s="44">
        <v>95.3</v>
      </c>
      <c r="D89" s="44">
        <v>94.2</v>
      </c>
      <c r="E89" s="44">
        <v>94.8</v>
      </c>
      <c r="F89" s="53">
        <v>93.9</v>
      </c>
    </row>
    <row r="90" spans="1:7" ht="17" thickBot="1" x14ac:dyDescent="0.25">
      <c r="A90" s="193"/>
      <c r="B90" s="43" t="s">
        <v>143</v>
      </c>
      <c r="C90" s="44">
        <v>0.4</v>
      </c>
      <c r="D90" s="44">
        <v>0.1</v>
      </c>
      <c r="E90" s="44">
        <v>0.9</v>
      </c>
      <c r="F90" s="53">
        <v>0</v>
      </c>
    </row>
    <row r="91" spans="1:7" x14ac:dyDescent="0.2">
      <c r="A91" s="189" t="s">
        <v>159</v>
      </c>
      <c r="B91" s="125" t="s">
        <v>139</v>
      </c>
      <c r="C91" s="54">
        <v>0.4</v>
      </c>
      <c r="D91" s="54">
        <v>0.1</v>
      </c>
      <c r="E91" s="54">
        <v>0.8</v>
      </c>
      <c r="F91" s="48">
        <v>0</v>
      </c>
    </row>
    <row r="92" spans="1:7" x14ac:dyDescent="0.2">
      <c r="A92" s="190"/>
      <c r="B92" s="126" t="s">
        <v>137</v>
      </c>
      <c r="C92" s="40">
        <v>99.2</v>
      </c>
      <c r="D92" s="40">
        <v>99.8</v>
      </c>
      <c r="E92" s="40">
        <v>98.3</v>
      </c>
      <c r="F92" s="53">
        <v>100</v>
      </c>
    </row>
    <row r="93" spans="1:7" ht="17" thickBot="1" x14ac:dyDescent="0.25">
      <c r="A93" s="191"/>
      <c r="B93" s="127" t="s">
        <v>143</v>
      </c>
      <c r="C93" s="55">
        <v>0.4</v>
      </c>
      <c r="D93" s="55">
        <v>0.1</v>
      </c>
      <c r="E93" s="55">
        <v>0.9</v>
      </c>
      <c r="F93" s="52">
        <v>0</v>
      </c>
    </row>
    <row r="94" spans="1:7" x14ac:dyDescent="0.2">
      <c r="A94" s="193" t="s">
        <v>160</v>
      </c>
      <c r="B94" s="43" t="s">
        <v>139</v>
      </c>
      <c r="C94" s="44">
        <v>13.6</v>
      </c>
      <c r="D94" s="44">
        <v>10.5</v>
      </c>
      <c r="E94" s="44">
        <v>18</v>
      </c>
      <c r="F94" s="53">
        <v>11.3</v>
      </c>
    </row>
    <row r="95" spans="1:7" x14ac:dyDescent="0.2">
      <c r="A95" s="193"/>
      <c r="B95" s="43" t="s">
        <v>137</v>
      </c>
      <c r="C95" s="44">
        <v>85.4</v>
      </c>
      <c r="D95" s="44">
        <v>89.1</v>
      </c>
      <c r="E95" s="44">
        <v>81</v>
      </c>
      <c r="F95" s="49">
        <v>85.8</v>
      </c>
      <c r="G95" t="s">
        <v>215</v>
      </c>
    </row>
    <row r="96" spans="1:7" ht="17" thickBot="1" x14ac:dyDescent="0.25">
      <c r="A96" s="193"/>
      <c r="B96" s="43" t="s">
        <v>143</v>
      </c>
      <c r="C96" s="44">
        <v>1</v>
      </c>
      <c r="D96" s="44">
        <v>0.4</v>
      </c>
      <c r="E96" s="44">
        <v>1</v>
      </c>
      <c r="F96" s="53">
        <v>3</v>
      </c>
    </row>
    <row r="97" spans="1:7" x14ac:dyDescent="0.2">
      <c r="A97" s="189" t="s">
        <v>161</v>
      </c>
      <c r="B97" s="125" t="s">
        <v>139</v>
      </c>
      <c r="C97" s="54">
        <v>34.700000000000003</v>
      </c>
      <c r="D97" s="54">
        <v>38.9</v>
      </c>
      <c r="E97" s="54">
        <v>33.4</v>
      </c>
      <c r="F97" s="48">
        <v>40</v>
      </c>
    </row>
    <row r="98" spans="1:7" x14ac:dyDescent="0.2">
      <c r="A98" s="190"/>
      <c r="B98" s="126" t="s">
        <v>137</v>
      </c>
      <c r="C98" s="40">
        <v>63.7</v>
      </c>
      <c r="D98" s="40">
        <v>60</v>
      </c>
      <c r="E98" s="40">
        <v>65.7</v>
      </c>
      <c r="F98" s="49">
        <v>50.8</v>
      </c>
      <c r="G98" t="s">
        <v>209</v>
      </c>
    </row>
    <row r="99" spans="1:7" ht="17" thickBot="1" x14ac:dyDescent="0.25">
      <c r="A99" s="191"/>
      <c r="B99" s="127" t="s">
        <v>143</v>
      </c>
      <c r="C99" s="55">
        <v>1.6</v>
      </c>
      <c r="D99" s="55">
        <v>1.1000000000000001</v>
      </c>
      <c r="E99" s="55">
        <v>0.9</v>
      </c>
      <c r="F99" s="104">
        <v>9.1999999999999993</v>
      </c>
      <c r="G99" t="s">
        <v>210</v>
      </c>
    </row>
    <row r="100" spans="1:7" x14ac:dyDescent="0.2">
      <c r="A100" s="193" t="s">
        <v>162</v>
      </c>
      <c r="B100" s="43" t="s">
        <v>139</v>
      </c>
      <c r="C100" s="44">
        <v>47.1</v>
      </c>
      <c r="D100" s="44">
        <v>58.6</v>
      </c>
      <c r="E100" s="44">
        <v>42.6</v>
      </c>
      <c r="F100" s="49">
        <v>66.3</v>
      </c>
    </row>
    <row r="101" spans="1:7" x14ac:dyDescent="0.2">
      <c r="A101" s="193"/>
      <c r="B101" s="43" t="s">
        <v>137</v>
      </c>
      <c r="C101" s="44">
        <v>52.3</v>
      </c>
      <c r="D101" s="44">
        <v>41.4</v>
      </c>
      <c r="E101" s="44">
        <v>55.9</v>
      </c>
      <c r="F101" s="53">
        <v>33.700000000000003</v>
      </c>
      <c r="G101" t="s">
        <v>211</v>
      </c>
    </row>
    <row r="102" spans="1:7" ht="17" thickBot="1" x14ac:dyDescent="0.25">
      <c r="A102" s="193"/>
      <c r="B102" s="43" t="s">
        <v>143</v>
      </c>
      <c r="C102" s="44">
        <v>0.6</v>
      </c>
      <c r="D102" s="44">
        <v>0.1</v>
      </c>
      <c r="E102" s="44">
        <v>1.6</v>
      </c>
      <c r="F102" s="53">
        <v>0</v>
      </c>
    </row>
    <row r="103" spans="1:7" x14ac:dyDescent="0.2">
      <c r="A103" s="189" t="s">
        <v>163</v>
      </c>
      <c r="B103" s="125" t="s">
        <v>139</v>
      </c>
      <c r="C103" s="54">
        <v>68</v>
      </c>
      <c r="D103" s="54">
        <v>72.7</v>
      </c>
      <c r="E103" s="54">
        <v>68.900000000000006</v>
      </c>
      <c r="F103" s="56">
        <v>72.7</v>
      </c>
    </row>
    <row r="104" spans="1:7" x14ac:dyDescent="0.2">
      <c r="A104" s="190"/>
      <c r="B104" s="126" t="s">
        <v>137</v>
      </c>
      <c r="C104" s="40">
        <v>30.8</v>
      </c>
      <c r="D104" s="40">
        <v>26.1</v>
      </c>
      <c r="E104" s="40">
        <v>30</v>
      </c>
      <c r="F104" s="53">
        <v>25.1</v>
      </c>
      <c r="G104" t="s">
        <v>212</v>
      </c>
    </row>
    <row r="105" spans="1:7" ht="17" thickBot="1" x14ac:dyDescent="0.25">
      <c r="A105" s="191"/>
      <c r="B105" s="127" t="s">
        <v>143</v>
      </c>
      <c r="C105" s="55">
        <v>1.1000000000000001</v>
      </c>
      <c r="D105" s="55">
        <v>1.2</v>
      </c>
      <c r="E105" s="55">
        <v>1.1000000000000001</v>
      </c>
      <c r="F105" s="52">
        <v>2.1</v>
      </c>
    </row>
    <row r="106" spans="1:7" x14ac:dyDescent="0.2">
      <c r="A106" s="193" t="s">
        <v>164</v>
      </c>
      <c r="B106" s="43" t="s">
        <v>139</v>
      </c>
      <c r="C106" s="44">
        <v>51.8</v>
      </c>
      <c r="D106" s="44">
        <v>55.3</v>
      </c>
      <c r="E106" s="44">
        <v>46.5</v>
      </c>
      <c r="F106" s="48">
        <v>46.6</v>
      </c>
    </row>
    <row r="107" spans="1:7" x14ac:dyDescent="0.2">
      <c r="A107" s="193"/>
      <c r="B107" s="43" t="s">
        <v>137</v>
      </c>
      <c r="C107" s="44">
        <v>45.7</v>
      </c>
      <c r="D107" s="44">
        <v>42.8</v>
      </c>
      <c r="E107" s="44">
        <v>50.8</v>
      </c>
      <c r="F107" s="53">
        <v>44.5</v>
      </c>
      <c r="G107" t="s">
        <v>213</v>
      </c>
    </row>
    <row r="108" spans="1:7" ht="17" thickBot="1" x14ac:dyDescent="0.25">
      <c r="A108" s="193"/>
      <c r="B108" s="43" t="s">
        <v>143</v>
      </c>
      <c r="C108" s="44">
        <v>2.6</v>
      </c>
      <c r="D108" s="44">
        <v>1.8</v>
      </c>
      <c r="E108" s="44">
        <v>2.7</v>
      </c>
      <c r="F108" s="104">
        <v>8.9</v>
      </c>
    </row>
    <row r="109" spans="1:7" x14ac:dyDescent="0.2">
      <c r="A109" s="189" t="s">
        <v>165</v>
      </c>
      <c r="B109" s="125" t="s">
        <v>139</v>
      </c>
      <c r="C109" s="54">
        <v>42.7</v>
      </c>
      <c r="D109" s="54">
        <v>45.6</v>
      </c>
      <c r="E109" s="54">
        <v>42.2</v>
      </c>
      <c r="F109" s="48">
        <v>33.6</v>
      </c>
    </row>
    <row r="110" spans="1:7" x14ac:dyDescent="0.2">
      <c r="A110" s="190"/>
      <c r="B110" s="126" t="s">
        <v>137</v>
      </c>
      <c r="C110" s="40">
        <v>52.9</v>
      </c>
      <c r="D110" s="40">
        <v>51.3</v>
      </c>
      <c r="E110" s="40">
        <v>53.6</v>
      </c>
      <c r="F110" s="53">
        <v>51.8</v>
      </c>
      <c r="G110" t="s">
        <v>213</v>
      </c>
    </row>
    <row r="111" spans="1:7" ht="17" thickBot="1" x14ac:dyDescent="0.25">
      <c r="A111" s="191"/>
      <c r="B111" s="127" t="s">
        <v>143</v>
      </c>
      <c r="C111" s="55">
        <v>4.4000000000000004</v>
      </c>
      <c r="D111" s="55">
        <v>3.2</v>
      </c>
      <c r="E111" s="55">
        <v>4.2</v>
      </c>
      <c r="F111" s="104">
        <v>14.6</v>
      </c>
    </row>
    <row r="112" spans="1:7" x14ac:dyDescent="0.2">
      <c r="A112" s="193" t="s">
        <v>166</v>
      </c>
      <c r="B112" s="43" t="s">
        <v>139</v>
      </c>
      <c r="C112" s="44">
        <v>59.3</v>
      </c>
      <c r="D112" s="44">
        <v>70.2</v>
      </c>
      <c r="E112" s="44">
        <v>58.4</v>
      </c>
      <c r="F112" s="56">
        <v>68.7</v>
      </c>
      <c r="G112" t="s">
        <v>214</v>
      </c>
    </row>
    <row r="113" spans="1:6" x14ac:dyDescent="0.2">
      <c r="A113" s="193"/>
      <c r="B113" s="43" t="s">
        <v>137</v>
      </c>
      <c r="C113" s="44">
        <v>39.6</v>
      </c>
      <c r="D113" s="44">
        <v>29.6</v>
      </c>
      <c r="E113" s="44">
        <v>38.9</v>
      </c>
      <c r="F113" s="53">
        <v>31.3</v>
      </c>
    </row>
    <row r="114" spans="1:6" ht="17" thickBot="1" x14ac:dyDescent="0.25">
      <c r="A114" s="193"/>
      <c r="B114" s="43" t="s">
        <v>143</v>
      </c>
      <c r="C114" s="44">
        <v>1.1000000000000001</v>
      </c>
      <c r="D114" s="44">
        <v>0.1</v>
      </c>
      <c r="E114" s="44">
        <v>2.7</v>
      </c>
      <c r="F114" s="52">
        <v>0</v>
      </c>
    </row>
    <row r="115" spans="1:6" x14ac:dyDescent="0.2">
      <c r="A115" s="189" t="s">
        <v>155</v>
      </c>
      <c r="B115" s="125" t="s">
        <v>139</v>
      </c>
      <c r="C115" s="54">
        <v>3.7</v>
      </c>
      <c r="D115" s="54">
        <v>2.9</v>
      </c>
      <c r="E115" s="54">
        <v>4.4000000000000004</v>
      </c>
      <c r="F115" s="48">
        <v>1.9</v>
      </c>
    </row>
    <row r="116" spans="1:6" ht="17" thickBot="1" x14ac:dyDescent="0.25">
      <c r="A116" s="191"/>
      <c r="B116" s="127" t="s">
        <v>137</v>
      </c>
      <c r="C116" s="55">
        <v>96.3</v>
      </c>
      <c r="D116" s="55">
        <v>97.1</v>
      </c>
      <c r="E116" s="55">
        <v>95.6</v>
      </c>
      <c r="F116" s="52">
        <v>98.1</v>
      </c>
    </row>
  </sheetData>
  <mergeCells count="37">
    <mergeCell ref="A74:A76"/>
    <mergeCell ref="A41:A43"/>
    <mergeCell ref="A44:A46"/>
    <mergeCell ref="A47:A49"/>
    <mergeCell ref="A50:A52"/>
    <mergeCell ref="A53:A55"/>
    <mergeCell ref="A56:A58"/>
    <mergeCell ref="A59:A61"/>
    <mergeCell ref="A62:A64"/>
    <mergeCell ref="A65:A67"/>
    <mergeCell ref="A68:A70"/>
    <mergeCell ref="A71:A73"/>
    <mergeCell ref="A112:A114"/>
    <mergeCell ref="A115:A116"/>
    <mergeCell ref="A3:A5"/>
    <mergeCell ref="A6:A8"/>
    <mergeCell ref="A9:A11"/>
    <mergeCell ref="A94:A96"/>
    <mergeCell ref="A97:A99"/>
    <mergeCell ref="A100:A102"/>
    <mergeCell ref="A103:A105"/>
    <mergeCell ref="A106:A108"/>
    <mergeCell ref="A109:A111"/>
    <mergeCell ref="A77:A78"/>
    <mergeCell ref="A82:A84"/>
    <mergeCell ref="A85:A87"/>
    <mergeCell ref="A88:A90"/>
    <mergeCell ref="A91:A93"/>
    <mergeCell ref="A30:A32"/>
    <mergeCell ref="A33:A35"/>
    <mergeCell ref="A36:A37"/>
    <mergeCell ref="A12:A14"/>
    <mergeCell ref="A15:A17"/>
    <mergeCell ref="A18:A20"/>
    <mergeCell ref="A21:A23"/>
    <mergeCell ref="A24:A26"/>
    <mergeCell ref="A27:A29"/>
  </mergeCells>
  <conditionalFormatting sqref="C3:F38">
    <cfRule type="colorScale" priority="23">
      <colorScale>
        <cfvo type="min"/>
        <cfvo type="max"/>
        <color rgb="FFFFEF9C"/>
        <color rgb="FF63BE7B"/>
      </colorScale>
    </cfRule>
  </conditionalFormatting>
  <conditionalFormatting sqref="C41:F58">
    <cfRule type="colorScale" priority="22">
      <colorScale>
        <cfvo type="min"/>
        <cfvo type="max"/>
        <color rgb="FFFFEF9C"/>
        <color rgb="FF63BE7B"/>
      </colorScale>
    </cfRule>
  </conditionalFormatting>
  <conditionalFormatting sqref="C59:F59 C60:E60 C61:F76">
    <cfRule type="colorScale" priority="21">
      <colorScale>
        <cfvo type="min"/>
        <cfvo type="max"/>
        <color rgb="FFFFEF9C"/>
        <color rgb="FF63BE7B"/>
      </colorScale>
    </cfRule>
  </conditionalFormatting>
  <conditionalFormatting sqref="C77:F78">
    <cfRule type="colorScale" priority="20">
      <colorScale>
        <cfvo type="min"/>
        <cfvo type="max"/>
        <color rgb="FFFFEF9C"/>
        <color rgb="FF63BE7B"/>
      </colorScale>
    </cfRule>
  </conditionalFormatting>
  <conditionalFormatting sqref="C82:F82 C84:F85 C83:E83 C87:F88 C86:E86 C89:E89 C90:F90 C94:F99 C91:E93 F91 F93">
    <cfRule type="colorScale" priority="18">
      <colorScale>
        <cfvo type="min"/>
        <cfvo type="max"/>
        <color rgb="FFFFEF9C"/>
        <color rgb="FF63BE7B"/>
      </colorScale>
    </cfRule>
  </conditionalFormatting>
  <conditionalFormatting sqref="C82:F116">
    <cfRule type="colorScale" priority="1">
      <colorScale>
        <cfvo type="min"/>
        <cfvo type="max"/>
        <color rgb="FFFFEF9C"/>
        <color rgb="FF63BE7B"/>
      </colorScale>
    </cfRule>
  </conditionalFormatting>
  <conditionalFormatting sqref="C100:F100 C102:F102 C101:E101 C103:E114">
    <cfRule type="colorScale" priority="17">
      <colorScale>
        <cfvo type="min"/>
        <cfvo type="max"/>
        <color rgb="FFFFEF9C"/>
        <color rgb="FF63BE7B"/>
      </colorScale>
    </cfRule>
  </conditionalFormatting>
  <conditionalFormatting sqref="C115:F116">
    <cfRule type="colorScale" priority="15">
      <colorScale>
        <cfvo type="min"/>
        <cfvo type="max"/>
        <color rgb="FFFFEF9C"/>
        <color rgb="FF63BE7B"/>
      </colorScale>
    </cfRule>
  </conditionalFormatting>
  <conditionalFormatting sqref="F60">
    <cfRule type="colorScale" priority="19">
      <colorScale>
        <cfvo type="min"/>
        <cfvo type="max"/>
        <color rgb="FFFFEF9C"/>
        <color rgb="FF63BE7B"/>
      </colorScale>
    </cfRule>
  </conditionalFormatting>
  <conditionalFormatting sqref="F83">
    <cfRule type="colorScale" priority="14">
      <colorScale>
        <cfvo type="min"/>
        <cfvo type="max"/>
        <color rgb="FFFFEF9C"/>
        <color rgb="FF63BE7B"/>
      </colorScale>
    </cfRule>
  </conditionalFormatting>
  <conditionalFormatting sqref="F86">
    <cfRule type="colorScale" priority="13">
      <colorScale>
        <cfvo type="min"/>
        <cfvo type="max"/>
        <color rgb="FFFFEF9C"/>
        <color rgb="FF63BE7B"/>
      </colorScale>
    </cfRule>
  </conditionalFormatting>
  <conditionalFormatting sqref="F89">
    <cfRule type="colorScale" priority="12">
      <colorScale>
        <cfvo type="min"/>
        <cfvo type="max"/>
        <color rgb="FFFFEF9C"/>
        <color rgb="FF63BE7B"/>
      </colorScale>
    </cfRule>
  </conditionalFormatting>
  <conditionalFormatting sqref="F92">
    <cfRule type="colorScale" priority="11">
      <colorScale>
        <cfvo type="min"/>
        <cfvo type="max"/>
        <color rgb="FFFFEF9C"/>
        <color rgb="FF63BE7B"/>
      </colorScale>
    </cfRule>
  </conditionalFormatting>
  <conditionalFormatting sqref="F101">
    <cfRule type="colorScale" priority="16">
      <colorScale>
        <cfvo type="min"/>
        <cfvo type="max"/>
        <color rgb="FFFFEF9C"/>
        <color rgb="FF63BE7B"/>
      </colorScale>
    </cfRule>
  </conditionalFormatting>
  <conditionalFormatting sqref="F104">
    <cfRule type="colorScale" priority="9">
      <colorScale>
        <cfvo type="min"/>
        <cfvo type="max"/>
        <color rgb="FFFFEF9C"/>
        <color rgb="FF63BE7B"/>
      </colorScale>
    </cfRule>
  </conditionalFormatting>
  <conditionalFormatting sqref="F105 F103">
    <cfRule type="colorScale" priority="10">
      <colorScale>
        <cfvo type="min"/>
        <cfvo type="max"/>
        <color rgb="FFFFEF9C"/>
        <color rgb="FF63BE7B"/>
      </colorScale>
    </cfRule>
  </conditionalFormatting>
  <conditionalFormatting sqref="F107">
    <cfRule type="colorScale" priority="7">
      <colorScale>
        <cfvo type="min"/>
        <cfvo type="max"/>
        <color rgb="FFFFEF9C"/>
        <color rgb="FF63BE7B"/>
      </colorScale>
    </cfRule>
  </conditionalFormatting>
  <conditionalFormatting sqref="F108 F106">
    <cfRule type="colorScale" priority="8">
      <colorScale>
        <cfvo type="min"/>
        <cfvo type="max"/>
        <color rgb="FFFFEF9C"/>
        <color rgb="FF63BE7B"/>
      </colorScale>
    </cfRule>
  </conditionalFormatting>
  <conditionalFormatting sqref="F110">
    <cfRule type="colorScale" priority="5">
      <colorScale>
        <cfvo type="min"/>
        <cfvo type="max"/>
        <color rgb="FFFFEF9C"/>
        <color rgb="FF63BE7B"/>
      </colorScale>
    </cfRule>
  </conditionalFormatting>
  <conditionalFormatting sqref="F111 F109">
    <cfRule type="colorScale" priority="6">
      <colorScale>
        <cfvo type="min"/>
        <cfvo type="max"/>
        <color rgb="FFFFEF9C"/>
        <color rgb="FF63BE7B"/>
      </colorScale>
    </cfRule>
  </conditionalFormatting>
  <conditionalFormatting sqref="F113">
    <cfRule type="colorScale" priority="3">
      <colorScale>
        <cfvo type="min"/>
        <cfvo type="max"/>
        <color rgb="FFFFEF9C"/>
        <color rgb="FF63BE7B"/>
      </colorScale>
    </cfRule>
  </conditionalFormatting>
  <conditionalFormatting sqref="F114 F112">
    <cfRule type="colorScale" priority="4">
      <colorScale>
        <cfvo type="min"/>
        <cfvo type="max"/>
        <color rgb="FFFFEF9C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82A42D-FDF5-C748-AF33-B56389A27E8F}">
  <dimension ref="A2:G85"/>
  <sheetViews>
    <sheetView showGridLines="0" workbookViewId="0">
      <selection activeCell="C33" sqref="C33"/>
    </sheetView>
  </sheetViews>
  <sheetFormatPr baseColWidth="10" defaultRowHeight="16" x14ac:dyDescent="0.2"/>
  <cols>
    <col min="2" max="2" width="16.33203125" customWidth="1"/>
    <col min="3" max="7" width="9.33203125" customWidth="1"/>
    <col min="10" max="10" width="18.83203125" customWidth="1"/>
  </cols>
  <sheetData>
    <row r="2" spans="1:7" x14ac:dyDescent="0.2">
      <c r="A2" t="s">
        <v>244</v>
      </c>
    </row>
    <row r="3" spans="1:7" x14ac:dyDescent="0.2">
      <c r="A3" s="8" t="s">
        <v>245</v>
      </c>
      <c r="B3" s="8" t="s">
        <v>246</v>
      </c>
      <c r="C3" s="8" t="s">
        <v>223</v>
      </c>
      <c r="D3" s="8"/>
      <c r="E3" s="8"/>
      <c r="F3" s="8"/>
      <c r="G3" s="8"/>
    </row>
    <row r="4" spans="1:7" x14ac:dyDescent="0.2">
      <c r="A4" s="8"/>
      <c r="B4" s="14" t="s">
        <v>86</v>
      </c>
      <c r="C4" s="181" t="s">
        <v>88</v>
      </c>
      <c r="D4" s="181"/>
      <c r="E4" s="181"/>
      <c r="F4" s="181"/>
      <c r="G4" s="181"/>
    </row>
    <row r="5" spans="1:7" ht="34" x14ac:dyDescent="0.2">
      <c r="A5" s="8" t="s">
        <v>31</v>
      </c>
      <c r="B5" s="31" t="s">
        <v>93</v>
      </c>
      <c r="C5" s="32" t="s">
        <v>89</v>
      </c>
      <c r="D5" s="32" t="s">
        <v>90</v>
      </c>
      <c r="E5" s="32" t="s">
        <v>91</v>
      </c>
      <c r="F5" s="32" t="s">
        <v>92</v>
      </c>
      <c r="G5" s="32" t="s">
        <v>32</v>
      </c>
    </row>
    <row r="6" spans="1:7" x14ac:dyDescent="0.2">
      <c r="A6" s="8"/>
      <c r="B6" s="32">
        <v>0</v>
      </c>
      <c r="C6" s="114">
        <v>8.2156309999999996E-2</v>
      </c>
      <c r="D6" s="114">
        <v>0.18784558000000001</v>
      </c>
      <c r="E6" s="114">
        <v>0.57304948</v>
      </c>
      <c r="F6" s="114">
        <v>0.12668662</v>
      </c>
      <c r="G6" s="114">
        <v>3.0262009999999999E-2</v>
      </c>
    </row>
    <row r="7" spans="1:7" x14ac:dyDescent="0.2">
      <c r="A7" s="8"/>
      <c r="B7" s="32">
        <v>1</v>
      </c>
      <c r="C7" s="114">
        <v>4.7451640000000003E-2</v>
      </c>
      <c r="D7" s="114">
        <v>0.31072538</v>
      </c>
      <c r="E7" s="114">
        <v>0.48886713999999998</v>
      </c>
      <c r="F7" s="114">
        <v>0.11013276</v>
      </c>
      <c r="G7" s="114">
        <v>4.2823069999999998E-2</v>
      </c>
    </row>
    <row r="8" spans="1:7" x14ac:dyDescent="0.2">
      <c r="A8" s="8"/>
      <c r="B8" s="32">
        <v>2</v>
      </c>
      <c r="C8" s="114">
        <v>5.4758080000000001E-2</v>
      </c>
      <c r="D8" s="114">
        <v>8.1517179999999995E-2</v>
      </c>
      <c r="E8" s="114">
        <v>0.62524893999999998</v>
      </c>
      <c r="F8" s="114">
        <v>0.15484701000000001</v>
      </c>
      <c r="G8" s="114">
        <v>8.3628800000000003E-2</v>
      </c>
    </row>
    <row r="9" spans="1:7" x14ac:dyDescent="0.2">
      <c r="A9" s="8"/>
      <c r="B9" s="32">
        <v>3</v>
      </c>
      <c r="C9" s="114">
        <v>8.9471830000000002E-2</v>
      </c>
      <c r="D9" s="114">
        <v>0.13156356</v>
      </c>
      <c r="E9" s="114">
        <v>0.18380020999999999</v>
      </c>
      <c r="F9" s="114">
        <v>0.42897359000000002</v>
      </c>
      <c r="G9" s="114">
        <v>0.16619080999999999</v>
      </c>
    </row>
    <row r="10" spans="1:7" x14ac:dyDescent="0.2">
      <c r="A10" s="8"/>
      <c r="B10" s="33" t="s">
        <v>32</v>
      </c>
      <c r="C10" s="114">
        <v>8.0356919999999998E-2</v>
      </c>
      <c r="D10" s="114">
        <v>0.11914772</v>
      </c>
      <c r="E10" s="114">
        <v>0.40622374</v>
      </c>
      <c r="F10" s="114">
        <v>7.4432689999999996E-2</v>
      </c>
      <c r="G10" s="114">
        <v>0.31983892000000003</v>
      </c>
    </row>
    <row r="12" spans="1:7" x14ac:dyDescent="0.2">
      <c r="A12" t="s">
        <v>244</v>
      </c>
    </row>
    <row r="13" spans="1:7" x14ac:dyDescent="0.2">
      <c r="A13" t="s">
        <v>245</v>
      </c>
      <c r="B13" t="s">
        <v>246</v>
      </c>
      <c r="C13" t="s">
        <v>238</v>
      </c>
    </row>
    <row r="14" spans="1:7" x14ac:dyDescent="0.2">
      <c r="B14" s="14" t="s">
        <v>238</v>
      </c>
      <c r="C14" s="181" t="s">
        <v>88</v>
      </c>
      <c r="D14" s="181"/>
      <c r="E14" s="181"/>
      <c r="F14" s="181"/>
      <c r="G14" s="181"/>
    </row>
    <row r="15" spans="1:7" ht="34" x14ac:dyDescent="0.2">
      <c r="A15" t="s">
        <v>31</v>
      </c>
      <c r="B15" s="31" t="s">
        <v>93</v>
      </c>
      <c r="C15" s="32" t="s">
        <v>89</v>
      </c>
      <c r="D15" s="32" t="s">
        <v>90</v>
      </c>
      <c r="E15" s="32" t="s">
        <v>91</v>
      </c>
      <c r="F15" s="32" t="s">
        <v>92</v>
      </c>
      <c r="G15" s="32" t="s">
        <v>32</v>
      </c>
    </row>
    <row r="16" spans="1:7" x14ac:dyDescent="0.2">
      <c r="B16" s="32">
        <v>0</v>
      </c>
      <c r="C16" s="114">
        <v>0.19336953200000001</v>
      </c>
      <c r="D16" s="114">
        <v>0.163947341</v>
      </c>
      <c r="E16" s="114">
        <v>0.52887979600000001</v>
      </c>
      <c r="F16" s="114">
        <v>5.8745408999999998E-2</v>
      </c>
      <c r="G16" s="114">
        <v>5.5057922000000002E-2</v>
      </c>
    </row>
    <row r="17" spans="1:7" x14ac:dyDescent="0.2">
      <c r="B17" s="32">
        <v>1</v>
      </c>
      <c r="C17" s="114">
        <v>3.4984754E-2</v>
      </c>
      <c r="D17" s="114">
        <v>0.37861720300000001</v>
      </c>
      <c r="E17" s="114">
        <v>0.40196073900000001</v>
      </c>
      <c r="F17" s="114">
        <v>0.12684535899999999</v>
      </c>
      <c r="G17" s="114">
        <v>5.7591944999999999E-2</v>
      </c>
    </row>
    <row r="18" spans="1:7" x14ac:dyDescent="0.2">
      <c r="B18" s="32">
        <v>2</v>
      </c>
      <c r="C18" s="114">
        <v>1.260061E-3</v>
      </c>
      <c r="D18" s="114">
        <v>3.0257289E-2</v>
      </c>
      <c r="E18" s="114">
        <v>0.74546153299999995</v>
      </c>
      <c r="F18" s="114">
        <v>0.142805244</v>
      </c>
      <c r="G18" s="114">
        <v>8.0215870999999994E-2</v>
      </c>
    </row>
    <row r="19" spans="1:7" x14ac:dyDescent="0.2">
      <c r="B19" s="32">
        <v>3</v>
      </c>
      <c r="C19" s="114">
        <v>0.134994216</v>
      </c>
      <c r="D19" s="114">
        <v>3.3303408999999999E-2</v>
      </c>
      <c r="E19" s="114">
        <v>4.7265466999999999E-2</v>
      </c>
      <c r="F19" s="114">
        <v>0.60443561899999998</v>
      </c>
      <c r="G19" s="114">
        <v>0.18000128900000001</v>
      </c>
    </row>
    <row r="20" spans="1:7" x14ac:dyDescent="0.2">
      <c r="B20" s="33" t="s">
        <v>32</v>
      </c>
      <c r="C20" s="114">
        <v>4.2057329999999997E-3</v>
      </c>
      <c r="D20" s="114">
        <v>3.2497803999999998E-2</v>
      </c>
      <c r="E20" s="114">
        <v>0.42432319499999999</v>
      </c>
      <c r="F20" s="114">
        <v>9.4937200999999999E-2</v>
      </c>
      <c r="G20" s="114">
        <v>0.44403606699999998</v>
      </c>
    </row>
    <row r="21" spans="1:7" x14ac:dyDescent="0.2">
      <c r="C21" s="115"/>
      <c r="D21" s="115"/>
      <c r="E21" s="115"/>
      <c r="F21" s="115"/>
      <c r="G21" s="115"/>
    </row>
    <row r="22" spans="1:7" x14ac:dyDescent="0.2">
      <c r="A22" t="s">
        <v>244</v>
      </c>
    </row>
    <row r="23" spans="1:7" x14ac:dyDescent="0.2">
      <c r="A23" t="s">
        <v>245</v>
      </c>
      <c r="B23" t="s">
        <v>246</v>
      </c>
      <c r="C23" t="s">
        <v>239</v>
      </c>
    </row>
    <row r="24" spans="1:7" x14ac:dyDescent="0.2">
      <c r="B24" s="14" t="s">
        <v>239</v>
      </c>
      <c r="C24" s="181" t="s">
        <v>88</v>
      </c>
      <c r="D24" s="181"/>
      <c r="E24" s="181"/>
      <c r="F24" s="181"/>
      <c r="G24" s="181"/>
    </row>
    <row r="25" spans="1:7" ht="34" x14ac:dyDescent="0.2">
      <c r="A25" t="s">
        <v>31</v>
      </c>
      <c r="B25" s="31" t="s">
        <v>93</v>
      </c>
      <c r="C25" s="32" t="s">
        <v>89</v>
      </c>
      <c r="D25" s="32" t="s">
        <v>90</v>
      </c>
      <c r="E25" s="32" t="s">
        <v>91</v>
      </c>
      <c r="F25" s="32" t="s">
        <v>92</v>
      </c>
      <c r="G25" s="32" t="s">
        <v>32</v>
      </c>
    </row>
    <row r="26" spans="1:7" x14ac:dyDescent="0.2">
      <c r="B26" s="32">
        <v>0</v>
      </c>
      <c r="C26" s="114">
        <v>8.0476839999999994E-2</v>
      </c>
      <c r="D26" s="114">
        <v>0.1701278</v>
      </c>
      <c r="E26" s="114">
        <v>0.59822902</v>
      </c>
      <c r="F26" s="114">
        <v>0.11763435</v>
      </c>
      <c r="G26" s="114">
        <v>3.3531980000000003E-2</v>
      </c>
    </row>
    <row r="27" spans="1:7" x14ac:dyDescent="0.2">
      <c r="B27" s="32">
        <v>1</v>
      </c>
      <c r="C27" s="114">
        <v>4.9331760000000002E-2</v>
      </c>
      <c r="D27" s="114">
        <v>0.31892582000000003</v>
      </c>
      <c r="E27" s="114">
        <v>0.49384091000000002</v>
      </c>
      <c r="F27" s="114">
        <v>9.1792109999999996E-2</v>
      </c>
      <c r="G27" s="114">
        <v>4.6109400000000002E-2</v>
      </c>
    </row>
    <row r="28" spans="1:7" x14ac:dyDescent="0.2">
      <c r="B28" s="32">
        <v>2</v>
      </c>
      <c r="C28" s="114">
        <v>5.3742400000000003E-2</v>
      </c>
      <c r="D28" s="114">
        <v>4.6379940000000001E-2</v>
      </c>
      <c r="E28" s="114">
        <v>0.65308217000000002</v>
      </c>
      <c r="F28" s="114">
        <v>0.14764336</v>
      </c>
      <c r="G28" s="114">
        <v>9.915214E-2</v>
      </c>
    </row>
    <row r="29" spans="1:7" x14ac:dyDescent="0.2">
      <c r="B29" s="32">
        <v>3</v>
      </c>
      <c r="C29" s="114">
        <v>0.11445574999999999</v>
      </c>
      <c r="D29" s="114">
        <v>0.15982299999999999</v>
      </c>
      <c r="E29" s="114">
        <v>0.21256190999999999</v>
      </c>
      <c r="F29" s="114">
        <v>0.38815113000000001</v>
      </c>
      <c r="G29" s="114">
        <v>0.12500821000000001</v>
      </c>
    </row>
    <row r="30" spans="1:7" x14ac:dyDescent="0.2">
      <c r="B30" s="33" t="s">
        <v>32</v>
      </c>
      <c r="C30" s="114">
        <v>0.12313242000000001</v>
      </c>
      <c r="D30" s="114">
        <v>0.10764492000000001</v>
      </c>
      <c r="E30" s="114">
        <v>0.41920887000000001</v>
      </c>
      <c r="F30" s="114">
        <v>6.8691139999999998E-2</v>
      </c>
      <c r="G30" s="114">
        <v>0.28132265000000001</v>
      </c>
    </row>
    <row r="31" spans="1:7" x14ac:dyDescent="0.2">
      <c r="C31" s="115"/>
      <c r="D31" s="115"/>
      <c r="E31" s="115"/>
      <c r="F31" s="115"/>
      <c r="G31" s="115"/>
    </row>
    <row r="32" spans="1:7" x14ac:dyDescent="0.2">
      <c r="A32" t="s">
        <v>244</v>
      </c>
      <c r="C32" s="115"/>
      <c r="D32" s="115"/>
      <c r="E32" s="115"/>
      <c r="F32" s="115"/>
      <c r="G32" s="115"/>
    </row>
    <row r="33" spans="1:7" x14ac:dyDescent="0.2">
      <c r="A33" t="s">
        <v>245</v>
      </c>
      <c r="B33" t="s">
        <v>246</v>
      </c>
      <c r="C33" s="115" t="s">
        <v>168</v>
      </c>
      <c r="D33" s="115"/>
      <c r="E33" s="115"/>
      <c r="F33" s="115"/>
      <c r="G33" s="115"/>
    </row>
    <row r="34" spans="1:7" x14ac:dyDescent="0.2">
      <c r="B34" s="14" t="s">
        <v>168</v>
      </c>
      <c r="C34" s="181" t="s">
        <v>88</v>
      </c>
      <c r="D34" s="181"/>
      <c r="E34" s="181"/>
      <c r="F34" s="181"/>
      <c r="G34" s="181"/>
    </row>
    <row r="35" spans="1:7" ht="34" x14ac:dyDescent="0.2">
      <c r="A35" t="s">
        <v>31</v>
      </c>
      <c r="B35" s="31" t="s">
        <v>93</v>
      </c>
      <c r="C35" s="32" t="s">
        <v>89</v>
      </c>
      <c r="D35" s="32" t="s">
        <v>90</v>
      </c>
      <c r="E35" s="32" t="s">
        <v>91</v>
      </c>
      <c r="F35" s="32" t="s">
        <v>92</v>
      </c>
      <c r="G35" s="32" t="s">
        <v>32</v>
      </c>
    </row>
    <row r="36" spans="1:7" x14ac:dyDescent="0.2">
      <c r="B36" s="32">
        <v>0</v>
      </c>
      <c r="C36" s="114">
        <v>7.3275240000000005E-2</v>
      </c>
      <c r="D36" s="114">
        <v>0.21218381</v>
      </c>
      <c r="E36" s="114">
        <v>0.55692370000000002</v>
      </c>
      <c r="F36" s="114">
        <v>0.12541021999999999</v>
      </c>
      <c r="G36" s="114">
        <v>3.2207039999999999E-2</v>
      </c>
    </row>
    <row r="37" spans="1:7" x14ac:dyDescent="0.2">
      <c r="B37" s="32">
        <v>1</v>
      </c>
      <c r="C37" s="114">
        <v>4.9884739999999997E-2</v>
      </c>
      <c r="D37" s="114">
        <v>0.31450221</v>
      </c>
      <c r="E37" s="114">
        <v>0.4698753</v>
      </c>
      <c r="F37" s="114">
        <v>0.11499628000000001</v>
      </c>
      <c r="G37" s="114">
        <v>5.0741469999999997E-2</v>
      </c>
    </row>
    <row r="38" spans="1:7" x14ac:dyDescent="0.2">
      <c r="B38" s="32">
        <v>2</v>
      </c>
      <c r="C38" s="114">
        <v>5.6953190000000001E-2</v>
      </c>
      <c r="D38" s="114">
        <v>9.8459939999999996E-2</v>
      </c>
      <c r="E38" s="114">
        <v>0.60794643999999998</v>
      </c>
      <c r="F38" s="114">
        <v>0.16419961</v>
      </c>
      <c r="G38" s="114">
        <v>7.2440809999999994E-2</v>
      </c>
    </row>
    <row r="39" spans="1:7" x14ac:dyDescent="0.2">
      <c r="B39" s="32">
        <v>3</v>
      </c>
      <c r="C39" s="114">
        <v>8.3171320000000007E-2</v>
      </c>
      <c r="D39" s="114">
        <v>0.12999606999999999</v>
      </c>
      <c r="E39" s="114">
        <v>0.18080320999999999</v>
      </c>
      <c r="F39" s="114">
        <v>0.43130252000000002</v>
      </c>
      <c r="G39" s="114">
        <v>0.17472688</v>
      </c>
    </row>
    <row r="40" spans="1:7" x14ac:dyDescent="0.2">
      <c r="B40" s="33" t="s">
        <v>32</v>
      </c>
      <c r="C40" s="114">
        <v>7.5145130000000004E-2</v>
      </c>
      <c r="D40" s="114">
        <v>0.15149309999999999</v>
      </c>
      <c r="E40" s="114">
        <v>0.40092492000000002</v>
      </c>
      <c r="F40" s="114">
        <v>6.8531099999999998E-2</v>
      </c>
      <c r="G40" s="114">
        <v>0.30390574999999997</v>
      </c>
    </row>
    <row r="47" spans="1:7" x14ac:dyDescent="0.2">
      <c r="A47" t="s">
        <v>244</v>
      </c>
    </row>
    <row r="48" spans="1:7" x14ac:dyDescent="0.2">
      <c r="A48" t="s">
        <v>245</v>
      </c>
      <c r="B48" t="s">
        <v>246</v>
      </c>
      <c r="C48" t="s">
        <v>223</v>
      </c>
    </row>
    <row r="49" spans="1:7" x14ac:dyDescent="0.2">
      <c r="B49" t="s">
        <v>31</v>
      </c>
    </row>
    <row r="50" spans="1:7" x14ac:dyDescent="0.2">
      <c r="A50" t="s">
        <v>30</v>
      </c>
      <c r="B50">
        <v>0</v>
      </c>
      <c r="C50">
        <v>1</v>
      </c>
      <c r="D50">
        <v>2</v>
      </c>
      <c r="E50">
        <v>3</v>
      </c>
      <c r="F50" t="s">
        <v>32</v>
      </c>
    </row>
    <row r="51" spans="1:7" x14ac:dyDescent="0.2">
      <c r="B51">
        <v>0</v>
      </c>
      <c r="C51">
        <v>8.2156309999999996E-2</v>
      </c>
      <c r="D51">
        <v>0.18784558000000001</v>
      </c>
      <c r="E51">
        <v>0.57304948</v>
      </c>
      <c r="F51">
        <v>0.12668662</v>
      </c>
      <c r="G51">
        <v>3.0262009999999999E-2</v>
      </c>
    </row>
    <row r="52" spans="1:7" x14ac:dyDescent="0.2">
      <c r="B52">
        <v>1</v>
      </c>
      <c r="C52">
        <v>4.7451640000000003E-2</v>
      </c>
      <c r="D52">
        <v>0.31072538</v>
      </c>
      <c r="E52">
        <v>0.48886713999999998</v>
      </c>
      <c r="F52">
        <v>0.11013276</v>
      </c>
      <c r="G52">
        <v>4.2823069999999998E-2</v>
      </c>
    </row>
    <row r="53" spans="1:7" x14ac:dyDescent="0.2">
      <c r="B53">
        <v>2</v>
      </c>
      <c r="C53">
        <v>5.4758080000000001E-2</v>
      </c>
      <c r="D53">
        <v>8.1517179999999995E-2</v>
      </c>
      <c r="E53">
        <v>0.62524893999999998</v>
      </c>
      <c r="F53">
        <v>0.15484701000000001</v>
      </c>
      <c r="G53">
        <v>8.3628800000000003E-2</v>
      </c>
    </row>
    <row r="54" spans="1:7" x14ac:dyDescent="0.2">
      <c r="B54">
        <v>3</v>
      </c>
      <c r="C54">
        <v>8.9471830000000002E-2</v>
      </c>
      <c r="D54">
        <v>0.13156356</v>
      </c>
      <c r="E54">
        <v>0.18380020999999999</v>
      </c>
      <c r="F54">
        <v>0.42897359000000002</v>
      </c>
      <c r="G54">
        <v>0.16619080999999999</v>
      </c>
    </row>
    <row r="55" spans="1:7" x14ac:dyDescent="0.2">
      <c r="B55" t="s">
        <v>32</v>
      </c>
      <c r="C55">
        <v>8.0356919999999998E-2</v>
      </c>
      <c r="D55">
        <v>0.11914772</v>
      </c>
      <c r="E55">
        <v>0.40622374</v>
      </c>
      <c r="F55">
        <v>7.4432689999999996E-2</v>
      </c>
      <c r="G55">
        <v>0.31983892000000003</v>
      </c>
    </row>
    <row r="57" spans="1:7" x14ac:dyDescent="0.2">
      <c r="A57" t="s">
        <v>244</v>
      </c>
    </row>
    <row r="58" spans="1:7" x14ac:dyDescent="0.2">
      <c r="A58" t="s">
        <v>245</v>
      </c>
      <c r="B58" t="s">
        <v>246</v>
      </c>
      <c r="C58" t="s">
        <v>238</v>
      </c>
    </row>
    <row r="59" spans="1:7" x14ac:dyDescent="0.2">
      <c r="B59" t="s">
        <v>31</v>
      </c>
    </row>
    <row r="60" spans="1:7" x14ac:dyDescent="0.2">
      <c r="A60" t="s">
        <v>30</v>
      </c>
      <c r="B60">
        <v>0</v>
      </c>
      <c r="C60">
        <v>1</v>
      </c>
      <c r="D60">
        <v>2</v>
      </c>
      <c r="E60">
        <v>3</v>
      </c>
      <c r="F60" t="s">
        <v>32</v>
      </c>
    </row>
    <row r="61" spans="1:7" x14ac:dyDescent="0.2">
      <c r="B61">
        <v>0</v>
      </c>
      <c r="C61">
        <v>0.19336953200000001</v>
      </c>
      <c r="D61">
        <v>0.163947341</v>
      </c>
      <c r="E61">
        <v>0.52887979600000001</v>
      </c>
      <c r="F61">
        <v>5.8745408999999998E-2</v>
      </c>
      <c r="G61">
        <v>5.5057922000000002E-2</v>
      </c>
    </row>
    <row r="62" spans="1:7" x14ac:dyDescent="0.2">
      <c r="B62">
        <v>1</v>
      </c>
      <c r="C62">
        <v>3.4984754E-2</v>
      </c>
      <c r="D62">
        <v>0.37861720300000001</v>
      </c>
      <c r="E62">
        <v>0.40196073900000001</v>
      </c>
      <c r="F62">
        <v>0.12684535899999999</v>
      </c>
      <c r="G62">
        <v>5.7591944999999999E-2</v>
      </c>
    </row>
    <row r="63" spans="1:7" x14ac:dyDescent="0.2">
      <c r="B63">
        <v>2</v>
      </c>
      <c r="C63">
        <v>1.260061E-3</v>
      </c>
      <c r="D63">
        <v>3.0257289E-2</v>
      </c>
      <c r="E63">
        <v>0.74546153299999995</v>
      </c>
      <c r="F63">
        <v>0.142805244</v>
      </c>
      <c r="G63">
        <v>8.0215870999999994E-2</v>
      </c>
    </row>
    <row r="64" spans="1:7" x14ac:dyDescent="0.2">
      <c r="B64">
        <v>3</v>
      </c>
      <c r="C64">
        <v>0.134994216</v>
      </c>
      <c r="D64">
        <v>3.3303408999999999E-2</v>
      </c>
      <c r="E64">
        <v>4.7265466999999999E-2</v>
      </c>
      <c r="F64">
        <v>0.60443561899999998</v>
      </c>
      <c r="G64">
        <v>0.18000128900000001</v>
      </c>
    </row>
    <row r="65" spans="1:7" x14ac:dyDescent="0.2">
      <c r="B65" t="s">
        <v>32</v>
      </c>
      <c r="C65">
        <v>4.2057329999999997E-3</v>
      </c>
      <c r="D65">
        <v>3.2497803999999998E-2</v>
      </c>
      <c r="E65">
        <v>0.42432319499999999</v>
      </c>
      <c r="F65">
        <v>9.4937200999999999E-2</v>
      </c>
      <c r="G65">
        <v>0.44403606699999998</v>
      </c>
    </row>
    <row r="67" spans="1:7" x14ac:dyDescent="0.2">
      <c r="A67" t="s">
        <v>244</v>
      </c>
    </row>
    <row r="68" spans="1:7" x14ac:dyDescent="0.2">
      <c r="A68" t="s">
        <v>245</v>
      </c>
      <c r="B68" t="s">
        <v>246</v>
      </c>
      <c r="C68" t="s">
        <v>239</v>
      </c>
    </row>
    <row r="69" spans="1:7" x14ac:dyDescent="0.2">
      <c r="B69" t="s">
        <v>31</v>
      </c>
    </row>
    <row r="70" spans="1:7" x14ac:dyDescent="0.2">
      <c r="A70" t="s">
        <v>30</v>
      </c>
      <c r="B70">
        <v>0</v>
      </c>
      <c r="C70">
        <v>1</v>
      </c>
      <c r="D70">
        <v>2</v>
      </c>
      <c r="E70">
        <v>3</v>
      </c>
      <c r="F70" t="s">
        <v>32</v>
      </c>
    </row>
    <row r="71" spans="1:7" x14ac:dyDescent="0.2">
      <c r="B71">
        <v>0</v>
      </c>
      <c r="C71">
        <v>8.0476839999999994E-2</v>
      </c>
      <c r="D71">
        <v>0.1701278</v>
      </c>
      <c r="E71">
        <v>0.59822902</v>
      </c>
      <c r="F71">
        <v>0.11763435</v>
      </c>
      <c r="G71">
        <v>3.3531980000000003E-2</v>
      </c>
    </row>
    <row r="72" spans="1:7" x14ac:dyDescent="0.2">
      <c r="B72">
        <v>1</v>
      </c>
      <c r="C72">
        <v>4.9331760000000002E-2</v>
      </c>
      <c r="D72">
        <v>0.31892582000000003</v>
      </c>
      <c r="E72">
        <v>0.49384091000000002</v>
      </c>
      <c r="F72">
        <v>9.1792109999999996E-2</v>
      </c>
      <c r="G72">
        <v>4.6109400000000002E-2</v>
      </c>
    </row>
    <row r="73" spans="1:7" x14ac:dyDescent="0.2">
      <c r="B73">
        <v>2</v>
      </c>
      <c r="C73">
        <v>5.3742400000000003E-2</v>
      </c>
      <c r="D73">
        <v>4.6379940000000001E-2</v>
      </c>
      <c r="E73">
        <v>0.65308217000000002</v>
      </c>
      <c r="F73">
        <v>0.14764336</v>
      </c>
      <c r="G73">
        <v>9.915214E-2</v>
      </c>
    </row>
    <row r="74" spans="1:7" x14ac:dyDescent="0.2">
      <c r="B74">
        <v>3</v>
      </c>
      <c r="C74">
        <v>0.11445574999999999</v>
      </c>
      <c r="D74">
        <v>0.15982299999999999</v>
      </c>
      <c r="E74">
        <v>0.21256190999999999</v>
      </c>
      <c r="F74">
        <v>0.38815113000000001</v>
      </c>
      <c r="G74">
        <v>0.12500821000000001</v>
      </c>
    </row>
    <row r="75" spans="1:7" x14ac:dyDescent="0.2">
      <c r="B75" t="s">
        <v>32</v>
      </c>
      <c r="C75">
        <v>0.12313242000000001</v>
      </c>
      <c r="D75">
        <v>0.10764492000000001</v>
      </c>
      <c r="E75">
        <v>0.41920887000000001</v>
      </c>
      <c r="F75">
        <v>6.8691139999999998E-2</v>
      </c>
      <c r="G75">
        <v>0.28132265000000001</v>
      </c>
    </row>
    <row r="77" spans="1:7" x14ac:dyDescent="0.2">
      <c r="A77" t="s">
        <v>244</v>
      </c>
    </row>
    <row r="78" spans="1:7" x14ac:dyDescent="0.2">
      <c r="A78" t="s">
        <v>245</v>
      </c>
      <c r="B78" t="s">
        <v>246</v>
      </c>
      <c r="C78" t="s">
        <v>168</v>
      </c>
    </row>
    <row r="79" spans="1:7" x14ac:dyDescent="0.2">
      <c r="B79" t="s">
        <v>31</v>
      </c>
    </row>
    <row r="80" spans="1:7" x14ac:dyDescent="0.2">
      <c r="A80" t="s">
        <v>30</v>
      </c>
      <c r="B80">
        <v>0</v>
      </c>
      <c r="C80">
        <v>1</v>
      </c>
      <c r="D80">
        <v>2</v>
      </c>
      <c r="E80">
        <v>3</v>
      </c>
      <c r="F80" t="s">
        <v>32</v>
      </c>
    </row>
    <row r="81" spans="2:7" x14ac:dyDescent="0.2">
      <c r="B81">
        <v>0</v>
      </c>
      <c r="C81">
        <v>7.3275240000000005E-2</v>
      </c>
      <c r="D81">
        <v>0.21218381</v>
      </c>
      <c r="E81">
        <v>0.55692370000000002</v>
      </c>
      <c r="F81">
        <v>0.12541021999999999</v>
      </c>
      <c r="G81">
        <v>3.2207039999999999E-2</v>
      </c>
    </row>
    <row r="82" spans="2:7" x14ac:dyDescent="0.2">
      <c r="B82">
        <v>1</v>
      </c>
      <c r="C82">
        <v>4.9884739999999997E-2</v>
      </c>
      <c r="D82">
        <v>0.31450221</v>
      </c>
      <c r="E82">
        <v>0.4698753</v>
      </c>
      <c r="F82">
        <v>0.11499628000000001</v>
      </c>
      <c r="G82">
        <v>5.0741469999999997E-2</v>
      </c>
    </row>
    <row r="83" spans="2:7" x14ac:dyDescent="0.2">
      <c r="B83">
        <v>2</v>
      </c>
      <c r="C83">
        <v>5.6953190000000001E-2</v>
      </c>
      <c r="D83">
        <v>9.8459939999999996E-2</v>
      </c>
      <c r="E83">
        <v>0.60794643999999998</v>
      </c>
      <c r="F83">
        <v>0.16419961</v>
      </c>
      <c r="G83">
        <v>7.2440809999999994E-2</v>
      </c>
    </row>
    <row r="84" spans="2:7" x14ac:dyDescent="0.2">
      <c r="B84">
        <v>3</v>
      </c>
      <c r="C84">
        <v>8.3171320000000007E-2</v>
      </c>
      <c r="D84">
        <v>0.12999606999999999</v>
      </c>
      <c r="E84">
        <v>0.18080320999999999</v>
      </c>
      <c r="F84">
        <v>0.43130252000000002</v>
      </c>
      <c r="G84">
        <v>0.17472688</v>
      </c>
    </row>
    <row r="85" spans="2:7" x14ac:dyDescent="0.2">
      <c r="B85" t="s">
        <v>32</v>
      </c>
      <c r="C85">
        <v>7.5145130000000004E-2</v>
      </c>
      <c r="D85">
        <v>0.15149309999999999</v>
      </c>
      <c r="E85">
        <v>0.40092492000000002</v>
      </c>
      <c r="F85">
        <v>6.8531099999999998E-2</v>
      </c>
      <c r="G85">
        <v>0.30390574999999997</v>
      </c>
    </row>
  </sheetData>
  <mergeCells count="4">
    <mergeCell ref="C4:G4"/>
    <mergeCell ref="C14:G14"/>
    <mergeCell ref="C24:G24"/>
    <mergeCell ref="C34:G34"/>
  </mergeCells>
  <conditionalFormatting sqref="C6:G10">
    <cfRule type="colorScale" priority="4">
      <colorScale>
        <cfvo type="min"/>
        <cfvo type="max"/>
        <color rgb="FFFFEF9C"/>
        <color rgb="FF63BE7B"/>
      </colorScale>
    </cfRule>
  </conditionalFormatting>
  <conditionalFormatting sqref="C16:G20">
    <cfRule type="colorScale" priority="3">
      <colorScale>
        <cfvo type="min"/>
        <cfvo type="max"/>
        <color rgb="FFFFEF9C"/>
        <color rgb="FF63BE7B"/>
      </colorScale>
    </cfRule>
  </conditionalFormatting>
  <conditionalFormatting sqref="C26:G30">
    <cfRule type="colorScale" priority="2">
      <colorScale>
        <cfvo type="min"/>
        <cfvo type="max"/>
        <color rgb="FFFFEF9C"/>
        <color rgb="FF63BE7B"/>
      </colorScale>
    </cfRule>
  </conditionalFormatting>
  <conditionalFormatting sqref="C36:G40">
    <cfRule type="colorScale" priority="1">
      <colorScale>
        <cfvo type="min"/>
        <cfvo type="max"/>
        <color rgb="FFFFEF9C"/>
        <color rgb="FF63BE7B"/>
      </colorScale>
    </cfRule>
  </conditionalFormatting>
  <pageMargins left="0.511811024" right="0.511811024" top="0.78740157499999996" bottom="0.78740157499999996" header="0.31496062000000002" footer="0.31496062000000002"/>
  <ignoredErrors>
    <ignoredError sqref="C5:F5 C15:F15 C25:F25 C35:F35" numberStoredAsText="1"/>
  </ignoredError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6D6AEF-3550-B440-8C96-2233025516BD}">
  <dimension ref="A1:J323"/>
  <sheetViews>
    <sheetView workbookViewId="0">
      <selection activeCell="I30" sqref="I30"/>
    </sheetView>
  </sheetViews>
  <sheetFormatPr baseColWidth="10" defaultRowHeight="16" x14ac:dyDescent="0.2"/>
  <cols>
    <col min="2" max="8" width="11" customWidth="1"/>
    <col min="9" max="9" width="17" bestFit="1" customWidth="1"/>
    <col min="10" max="10" width="11" customWidth="1"/>
  </cols>
  <sheetData>
    <row r="1" spans="1:10" x14ac:dyDescent="0.2">
      <c r="A1" t="s">
        <v>0</v>
      </c>
      <c r="B1" t="s">
        <v>33</v>
      </c>
    </row>
    <row r="2" spans="1:10" x14ac:dyDescent="0.2">
      <c r="A2" t="s">
        <v>0</v>
      </c>
      <c r="B2" t="s">
        <v>34</v>
      </c>
      <c r="C2" t="s">
        <v>2</v>
      </c>
      <c r="D2" t="s">
        <v>3</v>
      </c>
      <c r="E2" t="s">
        <v>4</v>
      </c>
    </row>
    <row r="3" spans="1:10" x14ac:dyDescent="0.2">
      <c r="B3" t="s">
        <v>7</v>
      </c>
    </row>
    <row r="4" spans="1:10" x14ac:dyDescent="0.2">
      <c r="A4" t="s">
        <v>35</v>
      </c>
      <c r="B4" s="3"/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28</v>
      </c>
    </row>
    <row r="5" spans="1:10" x14ac:dyDescent="0.2">
      <c r="B5" s="3">
        <v>0</v>
      </c>
      <c r="C5" s="3">
        <v>7058627.7830999997</v>
      </c>
      <c r="D5" s="3">
        <v>4454962.0125000002</v>
      </c>
      <c r="E5" s="3">
        <v>2591187.9186999998</v>
      </c>
      <c r="F5" s="3">
        <v>1231445.8308999999</v>
      </c>
      <c r="G5" s="3">
        <v>962857.92619999999</v>
      </c>
      <c r="H5" s="3">
        <v>666197.68610000005</v>
      </c>
      <c r="I5" s="3">
        <v>798177.88069999998</v>
      </c>
      <c r="J5" s="3">
        <f>SUM(C5:I5)</f>
        <v>17763457.038200002</v>
      </c>
    </row>
    <row r="6" spans="1:10" x14ac:dyDescent="0.2">
      <c r="B6" s="3">
        <v>1</v>
      </c>
      <c r="C6" s="3">
        <v>1175591.5699</v>
      </c>
      <c r="D6" s="3">
        <v>2558709.7839000002</v>
      </c>
      <c r="E6" s="3">
        <v>2414793.9730000002</v>
      </c>
      <c r="F6" s="3">
        <v>1808178.4538</v>
      </c>
      <c r="G6" s="3">
        <v>1603725.7342999999</v>
      </c>
      <c r="H6" s="3">
        <v>1276629.3688000001</v>
      </c>
      <c r="I6" s="3">
        <v>847451.478</v>
      </c>
      <c r="J6" s="3">
        <f t="shared" ref="J6:J21" si="0">SUM(C6:I6)</f>
        <v>11685080.3617</v>
      </c>
    </row>
    <row r="7" spans="1:10" x14ac:dyDescent="0.2">
      <c r="B7" s="3">
        <v>2</v>
      </c>
      <c r="C7" s="3">
        <v>163484.35219999999</v>
      </c>
      <c r="D7" s="3">
        <v>1178151.469</v>
      </c>
      <c r="E7" s="3">
        <v>1710284.5434000001</v>
      </c>
      <c r="F7" s="3">
        <v>2385446.0186999999</v>
      </c>
      <c r="G7" s="3">
        <v>2371004.2741</v>
      </c>
      <c r="H7" s="3">
        <v>2412963.1039</v>
      </c>
      <c r="I7" s="3">
        <v>1710076.9892</v>
      </c>
      <c r="J7" s="3">
        <f t="shared" si="0"/>
        <v>11931410.750499999</v>
      </c>
    </row>
    <row r="8" spans="1:10" x14ac:dyDescent="0.2">
      <c r="B8" s="3">
        <v>3</v>
      </c>
      <c r="C8" s="3">
        <v>19000.129199999999</v>
      </c>
      <c r="D8" s="3">
        <v>387222.50109999999</v>
      </c>
      <c r="E8" s="3">
        <v>977716.68830000004</v>
      </c>
      <c r="F8" s="3">
        <v>1249019.1318000001</v>
      </c>
      <c r="G8" s="3">
        <v>1211616.7704</v>
      </c>
      <c r="H8" s="3">
        <v>1420700.5234999999</v>
      </c>
      <c r="I8" s="3">
        <v>1142485.7196</v>
      </c>
      <c r="J8" s="3">
        <f t="shared" si="0"/>
        <v>6407761.4638999999</v>
      </c>
    </row>
    <row r="9" spans="1:10" x14ac:dyDescent="0.2">
      <c r="B9" s="3">
        <v>4</v>
      </c>
      <c r="C9" s="3">
        <v>1092.2003</v>
      </c>
      <c r="D9" s="3">
        <v>63221.398800000003</v>
      </c>
      <c r="E9" s="3">
        <v>245030.36739999999</v>
      </c>
      <c r="F9" s="3">
        <v>313283.52909999999</v>
      </c>
      <c r="G9" s="3">
        <v>561620.59950000001</v>
      </c>
      <c r="H9" s="3">
        <v>505777.65240000002</v>
      </c>
      <c r="I9" s="3">
        <v>618045.53159999999</v>
      </c>
      <c r="J9" s="3">
        <f t="shared" si="0"/>
        <v>2308071.2790999999</v>
      </c>
    </row>
    <row r="10" spans="1:10" x14ac:dyDescent="0.2">
      <c r="B10" s="3">
        <v>5</v>
      </c>
      <c r="C10" s="3">
        <v>0</v>
      </c>
      <c r="D10" s="3">
        <v>11404.831700000001</v>
      </c>
      <c r="E10" s="3">
        <v>66963.979200000002</v>
      </c>
      <c r="F10" s="3">
        <v>178930.14559999999</v>
      </c>
      <c r="G10" s="3">
        <v>178661.56270000001</v>
      </c>
      <c r="H10" s="3">
        <v>313574.6127</v>
      </c>
      <c r="I10" s="3">
        <v>279621.5551</v>
      </c>
      <c r="J10" s="3">
        <f t="shared" si="0"/>
        <v>1029156.6869999999</v>
      </c>
    </row>
    <row r="11" spans="1:10" x14ac:dyDescent="0.2">
      <c r="B11" s="3">
        <v>6</v>
      </c>
      <c r="C11" s="3">
        <v>0</v>
      </c>
      <c r="D11" s="3">
        <v>2627.6026000000002</v>
      </c>
      <c r="E11" s="3">
        <v>13137.185799999999</v>
      </c>
      <c r="F11" s="3">
        <v>69458.220300000001</v>
      </c>
      <c r="G11" s="3">
        <v>75017.564100000003</v>
      </c>
      <c r="H11" s="3">
        <v>163144.78460000001</v>
      </c>
      <c r="I11" s="3">
        <v>255457.97719999999</v>
      </c>
      <c r="J11" s="3">
        <f t="shared" si="0"/>
        <v>578843.33460000006</v>
      </c>
    </row>
    <row r="12" spans="1:10" x14ac:dyDescent="0.2">
      <c r="B12" s="3">
        <v>7</v>
      </c>
      <c r="C12" s="3">
        <v>0</v>
      </c>
      <c r="D12" s="3">
        <v>4354.6495999999997</v>
      </c>
      <c r="E12" s="3">
        <v>1510.9247</v>
      </c>
      <c r="F12" s="3">
        <v>35080.9421</v>
      </c>
      <c r="G12" s="3">
        <v>84800.698699999994</v>
      </c>
      <c r="H12" s="3">
        <v>69580.239600000001</v>
      </c>
      <c r="I12" s="3">
        <v>86491.804900000003</v>
      </c>
      <c r="J12" s="3">
        <f t="shared" si="0"/>
        <v>281819.25959999999</v>
      </c>
    </row>
    <row r="13" spans="1:10" x14ac:dyDescent="0.2">
      <c r="B13" s="3">
        <v>8</v>
      </c>
      <c r="C13" s="3">
        <v>0</v>
      </c>
      <c r="D13" s="3">
        <v>0</v>
      </c>
      <c r="E13" s="3">
        <v>2876.3081000000002</v>
      </c>
      <c r="F13" s="3">
        <v>4300.8181000000004</v>
      </c>
      <c r="G13" s="3">
        <v>17688.137599999998</v>
      </c>
      <c r="H13" s="3">
        <v>30369.084900000002</v>
      </c>
      <c r="I13" s="3">
        <v>85326.235000000001</v>
      </c>
      <c r="J13" s="3">
        <f t="shared" si="0"/>
        <v>140560.58370000002</v>
      </c>
    </row>
    <row r="14" spans="1:10" x14ac:dyDescent="0.2">
      <c r="B14" s="3">
        <v>9</v>
      </c>
      <c r="C14" s="3">
        <v>0</v>
      </c>
      <c r="D14" s="3">
        <v>0</v>
      </c>
      <c r="E14" s="3">
        <v>0</v>
      </c>
      <c r="F14" s="3">
        <v>652.7242</v>
      </c>
      <c r="G14" s="3">
        <v>24173.340499999998</v>
      </c>
      <c r="H14" s="3">
        <v>46940.232600000003</v>
      </c>
      <c r="I14" s="3">
        <v>27106.9728</v>
      </c>
      <c r="J14" s="3">
        <f t="shared" si="0"/>
        <v>98873.270100000009</v>
      </c>
    </row>
    <row r="15" spans="1:10" x14ac:dyDescent="0.2">
      <c r="B15" s="3">
        <v>10</v>
      </c>
      <c r="C15" s="3">
        <v>0</v>
      </c>
      <c r="D15" s="3">
        <v>0</v>
      </c>
      <c r="E15" s="3">
        <v>0</v>
      </c>
      <c r="F15" s="3">
        <v>567.93679999999995</v>
      </c>
      <c r="G15" s="3">
        <v>2039.4108000000001</v>
      </c>
      <c r="H15" s="3">
        <v>7364.3734999999997</v>
      </c>
      <c r="I15" s="3">
        <v>52032.423699999999</v>
      </c>
      <c r="J15" s="3">
        <f t="shared" si="0"/>
        <v>62004.144799999995</v>
      </c>
    </row>
    <row r="16" spans="1:10" x14ac:dyDescent="0.2">
      <c r="B16" s="3">
        <v>11</v>
      </c>
      <c r="C16" s="3">
        <v>0</v>
      </c>
      <c r="D16" s="3">
        <v>0</v>
      </c>
      <c r="E16" s="3">
        <v>0</v>
      </c>
      <c r="F16" s="3">
        <v>0</v>
      </c>
      <c r="G16" s="3">
        <v>2153.5619000000002</v>
      </c>
      <c r="H16" s="3">
        <v>28691.3066</v>
      </c>
      <c r="I16" s="3">
        <v>10519.4504</v>
      </c>
      <c r="J16" s="3">
        <f t="shared" si="0"/>
        <v>41364.318899999998</v>
      </c>
    </row>
    <row r="17" spans="1:10" x14ac:dyDescent="0.2">
      <c r="B17" s="3">
        <v>12</v>
      </c>
      <c r="C17" s="3">
        <v>0</v>
      </c>
      <c r="D17" s="3">
        <v>0</v>
      </c>
      <c r="E17" s="3">
        <v>0</v>
      </c>
      <c r="F17" s="3">
        <v>0</v>
      </c>
      <c r="G17" s="3">
        <v>480.22559999999999</v>
      </c>
      <c r="H17" s="3">
        <v>4417.6974</v>
      </c>
      <c r="I17" s="3">
        <v>11169.189899999999</v>
      </c>
      <c r="J17" s="3">
        <f t="shared" si="0"/>
        <v>16067.1129</v>
      </c>
    </row>
    <row r="18" spans="1:10" x14ac:dyDescent="0.2">
      <c r="B18" s="3">
        <v>13</v>
      </c>
      <c r="C18" s="3">
        <v>0</v>
      </c>
      <c r="D18" s="3">
        <v>0</v>
      </c>
      <c r="E18" s="3">
        <v>0</v>
      </c>
      <c r="F18" s="3">
        <v>0</v>
      </c>
      <c r="G18" s="3">
        <v>1988.472</v>
      </c>
      <c r="H18" s="3">
        <v>339.41399999999999</v>
      </c>
      <c r="I18" s="3">
        <v>4382.2745000000004</v>
      </c>
      <c r="J18" s="3">
        <f t="shared" si="0"/>
        <v>6710.1605</v>
      </c>
    </row>
    <row r="19" spans="1:10" x14ac:dyDescent="0.2">
      <c r="B19" s="3">
        <v>14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1110.4314999999999</v>
      </c>
      <c r="I19" s="3">
        <v>1681.789</v>
      </c>
      <c r="J19" s="3">
        <f t="shared" si="0"/>
        <v>2792.2204999999999</v>
      </c>
    </row>
    <row r="20" spans="1:10" x14ac:dyDescent="0.2">
      <c r="B20" s="3">
        <v>15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220.41079999999999</v>
      </c>
      <c r="J20" s="3">
        <f t="shared" si="0"/>
        <v>220.41079999999999</v>
      </c>
    </row>
    <row r="21" spans="1:10" x14ac:dyDescent="0.2">
      <c r="B21" s="3">
        <v>16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7263.7302</v>
      </c>
      <c r="J21" s="3">
        <f t="shared" si="0"/>
        <v>7263.7302</v>
      </c>
    </row>
    <row r="22" spans="1:10" x14ac:dyDescent="0.2">
      <c r="A22" t="s">
        <v>0</v>
      </c>
      <c r="C22" s="3">
        <f t="shared" ref="C22:I22" si="1">SUMPRODUCT($B$5:$B$21,C5:C21)</f>
        <v>1563929.4631000001</v>
      </c>
      <c r="D22" s="3">
        <f t="shared" si="1"/>
        <v>6432838.1417000005</v>
      </c>
      <c r="E22" s="3">
        <f t="shared" si="1"/>
        <v>10195864.5428</v>
      </c>
      <c r="F22" s="3">
        <f t="shared" si="1"/>
        <v>13182189.0781</v>
      </c>
      <c r="G22" s="3">
        <f t="shared" si="1"/>
        <v>14598846.378099998</v>
      </c>
      <c r="H22" s="3">
        <f t="shared" si="1"/>
        <v>16549204.876999997</v>
      </c>
      <c r="I22" s="3">
        <f t="shared" si="1"/>
        <v>15600224.579699997</v>
      </c>
      <c r="J22" s="3">
        <f>SUM(C22:I22)</f>
        <v>78123097.060499996</v>
      </c>
    </row>
    <row r="23" spans="1:10" x14ac:dyDescent="0.2">
      <c r="C23" s="12">
        <f>C22/SUM(C5:C21)</f>
        <v>0.18578847202440402</v>
      </c>
      <c r="D23" s="12">
        <f t="shared" ref="D23:J23" si="2">D22/SUM(D5:D21)</f>
        <v>0.74276584154069103</v>
      </c>
      <c r="E23" s="12">
        <f t="shared" si="2"/>
        <v>1.2707499399092248</v>
      </c>
      <c r="F23" s="12">
        <f t="shared" si="2"/>
        <v>1.811645147009548</v>
      </c>
      <c r="G23" s="12">
        <f t="shared" si="2"/>
        <v>2.0568046739771071</v>
      </c>
      <c r="H23" s="12">
        <f t="shared" si="2"/>
        <v>2.3819343759479841</v>
      </c>
      <c r="I23" s="12">
        <f t="shared" si="2"/>
        <v>2.6274011948161884</v>
      </c>
      <c r="J23" s="12">
        <f t="shared" si="2"/>
        <v>1.4919962667007669</v>
      </c>
    </row>
    <row r="24" spans="1:10" x14ac:dyDescent="0.2">
      <c r="C24" s="9"/>
      <c r="D24" s="9"/>
      <c r="E24" s="9"/>
      <c r="F24" s="9"/>
      <c r="G24" s="9"/>
      <c r="H24" s="9"/>
      <c r="I24" s="9"/>
      <c r="J24" s="9"/>
    </row>
    <row r="25" spans="1:10" s="10" customFormat="1" x14ac:dyDescent="0.2">
      <c r="C25" s="11"/>
      <c r="D25" s="11"/>
      <c r="E25" s="11"/>
      <c r="F25" s="11"/>
      <c r="J25" s="11"/>
    </row>
    <row r="26" spans="1:10" x14ac:dyDescent="0.2">
      <c r="A26" t="s">
        <v>0</v>
      </c>
      <c r="B26" t="s">
        <v>36</v>
      </c>
      <c r="C26" t="s">
        <v>37</v>
      </c>
      <c r="D26" t="s">
        <v>38</v>
      </c>
    </row>
    <row r="27" spans="1:10" x14ac:dyDescent="0.2">
      <c r="A27" t="s">
        <v>0</v>
      </c>
      <c r="B27" t="s">
        <v>39</v>
      </c>
      <c r="C27" t="s">
        <v>2</v>
      </c>
      <c r="D27" t="s">
        <v>3</v>
      </c>
      <c r="E27" t="s">
        <v>4</v>
      </c>
    </row>
    <row r="28" spans="1:10" x14ac:dyDescent="0.2">
      <c r="B28" t="s">
        <v>16</v>
      </c>
      <c r="C28" t="s">
        <v>3</v>
      </c>
      <c r="D28">
        <v>1</v>
      </c>
    </row>
    <row r="30" spans="1:10" x14ac:dyDescent="0.2">
      <c r="B30" t="s">
        <v>7</v>
      </c>
    </row>
    <row r="31" spans="1:10" x14ac:dyDescent="0.2">
      <c r="A31" t="s">
        <v>35</v>
      </c>
      <c r="B31" s="3"/>
      <c r="C31" s="3" t="s">
        <v>8</v>
      </c>
      <c r="D31" s="3" t="s">
        <v>9</v>
      </c>
      <c r="E31" s="3" t="s">
        <v>10</v>
      </c>
      <c r="F31" s="3" t="s">
        <v>11</v>
      </c>
      <c r="G31" s="3" t="s">
        <v>12</v>
      </c>
      <c r="H31" s="3" t="s">
        <v>13</v>
      </c>
      <c r="I31" s="3" t="s">
        <v>14</v>
      </c>
      <c r="J31" s="3" t="s">
        <v>28</v>
      </c>
    </row>
    <row r="32" spans="1:10" x14ac:dyDescent="0.2">
      <c r="B32" s="3">
        <v>0</v>
      </c>
      <c r="C32" s="3">
        <v>5850338</v>
      </c>
      <c r="D32" s="3">
        <v>3846243</v>
      </c>
      <c r="E32" s="3">
        <v>2326078</v>
      </c>
      <c r="F32" s="3">
        <v>1082566</v>
      </c>
      <c r="G32" s="3">
        <v>902476.80000000005</v>
      </c>
      <c r="H32" s="3">
        <v>578971.80000000005</v>
      </c>
      <c r="I32" s="3">
        <v>690093.3</v>
      </c>
      <c r="J32" s="3">
        <f>SUM(C32:I32)</f>
        <v>15276766.900000002</v>
      </c>
    </row>
    <row r="33" spans="2:10" x14ac:dyDescent="0.2">
      <c r="B33" s="3">
        <v>1</v>
      </c>
      <c r="C33" s="3">
        <v>902780.6</v>
      </c>
      <c r="D33" s="3">
        <v>2010803</v>
      </c>
      <c r="E33" s="3">
        <v>2087317</v>
      </c>
      <c r="F33" s="3">
        <v>1630837</v>
      </c>
      <c r="G33" s="3">
        <v>1407120</v>
      </c>
      <c r="H33" s="3">
        <v>1162413</v>
      </c>
      <c r="I33" s="3">
        <v>797404.6</v>
      </c>
      <c r="J33" s="3">
        <f t="shared" ref="J33:J48" si="3">SUM(C33:I33)</f>
        <v>9998675.1999999993</v>
      </c>
    </row>
    <row r="34" spans="2:10" x14ac:dyDescent="0.2">
      <c r="B34" s="3">
        <v>2</v>
      </c>
      <c r="C34" s="3">
        <v>123242.6</v>
      </c>
      <c r="D34" s="3">
        <v>967486.4</v>
      </c>
      <c r="E34" s="3">
        <v>1292793</v>
      </c>
      <c r="F34" s="3">
        <v>1974331</v>
      </c>
      <c r="G34" s="3">
        <v>2031901</v>
      </c>
      <c r="H34" s="3">
        <v>2017592</v>
      </c>
      <c r="I34" s="3">
        <v>1528128</v>
      </c>
      <c r="J34" s="3">
        <f t="shared" si="3"/>
        <v>9935474</v>
      </c>
    </row>
    <row r="35" spans="2:10" x14ac:dyDescent="0.2">
      <c r="B35" s="3">
        <v>3</v>
      </c>
      <c r="C35" s="3">
        <v>4120.1850000000004</v>
      </c>
      <c r="D35" s="3">
        <v>270401.7</v>
      </c>
      <c r="E35" s="3">
        <v>802988.4</v>
      </c>
      <c r="F35" s="3">
        <v>1022087</v>
      </c>
      <c r="G35" s="3">
        <v>994626.4</v>
      </c>
      <c r="H35" s="3">
        <v>1214943</v>
      </c>
      <c r="I35" s="3">
        <v>958804.1</v>
      </c>
      <c r="J35" s="3">
        <f t="shared" si="3"/>
        <v>5267970.7850000001</v>
      </c>
    </row>
    <row r="36" spans="2:10" x14ac:dyDescent="0.2">
      <c r="B36" s="3">
        <v>4</v>
      </c>
      <c r="C36" s="3">
        <v>0</v>
      </c>
      <c r="D36" s="3">
        <v>42367.58</v>
      </c>
      <c r="E36" s="3">
        <v>174777.8</v>
      </c>
      <c r="F36" s="3">
        <v>232232.9</v>
      </c>
      <c r="G36" s="3">
        <v>430270.7</v>
      </c>
      <c r="H36" s="3">
        <v>377087.7</v>
      </c>
      <c r="I36" s="3">
        <v>516256</v>
      </c>
      <c r="J36" s="3">
        <f t="shared" si="3"/>
        <v>1772992.68</v>
      </c>
    </row>
    <row r="37" spans="2:10" x14ac:dyDescent="0.2">
      <c r="B37" s="3">
        <v>5</v>
      </c>
      <c r="C37" s="3">
        <v>0</v>
      </c>
      <c r="D37" s="3">
        <v>4699.3729999999996</v>
      </c>
      <c r="E37" s="3">
        <v>55059.24</v>
      </c>
      <c r="F37" s="3">
        <v>125743.8</v>
      </c>
      <c r="G37" s="3">
        <v>130888.9</v>
      </c>
      <c r="H37" s="3">
        <v>212848.9</v>
      </c>
      <c r="I37" s="3">
        <v>214023.4</v>
      </c>
      <c r="J37" s="3">
        <f t="shared" si="3"/>
        <v>743263.61300000001</v>
      </c>
    </row>
    <row r="38" spans="2:10" x14ac:dyDescent="0.2">
      <c r="B38" s="3">
        <v>6</v>
      </c>
      <c r="C38" s="3">
        <v>0</v>
      </c>
      <c r="D38" s="3">
        <v>1099.2059999999999</v>
      </c>
      <c r="E38" s="3">
        <v>9655.5409999999993</v>
      </c>
      <c r="F38" s="3">
        <v>50546.79</v>
      </c>
      <c r="G38" s="3">
        <v>37126.300000000003</v>
      </c>
      <c r="H38" s="3">
        <v>115177.3</v>
      </c>
      <c r="I38" s="3">
        <v>201143.4</v>
      </c>
      <c r="J38" s="3">
        <f t="shared" si="3"/>
        <v>414748.53700000001</v>
      </c>
    </row>
    <row r="39" spans="2:10" x14ac:dyDescent="0.2">
      <c r="B39" s="3">
        <v>7</v>
      </c>
      <c r="C39" s="3">
        <v>0</v>
      </c>
      <c r="D39" s="3">
        <v>4354.6499999999996</v>
      </c>
      <c r="E39" s="3">
        <v>317.60950000000003</v>
      </c>
      <c r="F39" s="3">
        <v>31537.48</v>
      </c>
      <c r="G39" s="3">
        <v>62615.53</v>
      </c>
      <c r="H39" s="3">
        <v>36897.42</v>
      </c>
      <c r="I39" s="3">
        <v>32459.33</v>
      </c>
      <c r="J39" s="3">
        <f t="shared" si="3"/>
        <v>168182.01949999999</v>
      </c>
    </row>
    <row r="40" spans="2:10" x14ac:dyDescent="0.2">
      <c r="B40" s="3">
        <v>8</v>
      </c>
      <c r="C40" s="3">
        <v>0</v>
      </c>
      <c r="D40" s="3">
        <v>0</v>
      </c>
      <c r="E40" s="3">
        <v>0</v>
      </c>
      <c r="F40" s="3">
        <v>2318.2669999999998</v>
      </c>
      <c r="G40" s="3">
        <v>9981.2720000000008</v>
      </c>
      <c r="H40" s="3">
        <v>18595.95</v>
      </c>
      <c r="I40" s="3">
        <v>62930.48</v>
      </c>
      <c r="J40" s="3">
        <f t="shared" si="3"/>
        <v>93825.969000000012</v>
      </c>
    </row>
    <row r="41" spans="2:10" x14ac:dyDescent="0.2">
      <c r="B41" s="3">
        <v>9</v>
      </c>
      <c r="C41" s="3">
        <v>0</v>
      </c>
      <c r="D41" s="3">
        <v>0</v>
      </c>
      <c r="E41" s="3">
        <v>0</v>
      </c>
      <c r="F41" s="3">
        <v>652.7242</v>
      </c>
      <c r="G41" s="3">
        <v>20242.72</v>
      </c>
      <c r="H41" s="3">
        <v>28877.64</v>
      </c>
      <c r="I41" s="3">
        <v>21996.2</v>
      </c>
      <c r="J41" s="3">
        <f t="shared" si="3"/>
        <v>71769.284199999995</v>
      </c>
    </row>
    <row r="42" spans="2:10" x14ac:dyDescent="0.2">
      <c r="B42" s="3">
        <v>10</v>
      </c>
      <c r="C42" s="3">
        <v>0</v>
      </c>
      <c r="D42" s="3">
        <v>0</v>
      </c>
      <c r="E42" s="3">
        <v>0</v>
      </c>
      <c r="F42" s="3">
        <v>68.603610000000003</v>
      </c>
      <c r="G42" s="3">
        <v>189.07320000000001</v>
      </c>
      <c r="H42" s="3">
        <v>5048.3680000000004</v>
      </c>
      <c r="I42" s="3">
        <v>34140.79</v>
      </c>
      <c r="J42" s="3">
        <f t="shared" si="3"/>
        <v>39446.83481</v>
      </c>
    </row>
    <row r="43" spans="2:10" x14ac:dyDescent="0.2">
      <c r="B43" s="3">
        <v>11</v>
      </c>
      <c r="C43" s="3">
        <v>0</v>
      </c>
      <c r="D43" s="3">
        <v>0</v>
      </c>
      <c r="E43" s="3">
        <v>0</v>
      </c>
      <c r="F43" s="3">
        <v>0</v>
      </c>
      <c r="G43" s="3">
        <v>1990.55</v>
      </c>
      <c r="H43" s="3">
        <v>14108.75</v>
      </c>
      <c r="I43" s="3">
        <v>4347.6840000000002</v>
      </c>
      <c r="J43" s="3">
        <f t="shared" si="3"/>
        <v>20446.984</v>
      </c>
    </row>
    <row r="44" spans="2:10" x14ac:dyDescent="0.2">
      <c r="B44" s="3">
        <v>12</v>
      </c>
      <c r="C44" s="3">
        <v>0</v>
      </c>
      <c r="D44" s="3">
        <v>0</v>
      </c>
      <c r="E44" s="3">
        <v>0</v>
      </c>
      <c r="F44" s="3">
        <v>0</v>
      </c>
      <c r="G44" s="3">
        <v>0</v>
      </c>
      <c r="H44" s="3">
        <v>2096.1</v>
      </c>
      <c r="I44" s="3">
        <v>7172.5339999999997</v>
      </c>
      <c r="J44" s="3">
        <f t="shared" si="3"/>
        <v>9268.634</v>
      </c>
    </row>
    <row r="45" spans="2:10" x14ac:dyDescent="0.2">
      <c r="B45" s="3">
        <v>13</v>
      </c>
      <c r="C45" s="3">
        <v>0</v>
      </c>
      <c r="D45" s="3">
        <v>0</v>
      </c>
      <c r="E45" s="3">
        <v>0</v>
      </c>
      <c r="F45" s="3">
        <v>0</v>
      </c>
      <c r="G45" s="3">
        <v>1774.2660000000001</v>
      </c>
      <c r="H45" s="3">
        <v>339.41399999999999</v>
      </c>
      <c r="I45" s="3">
        <v>3849.0709999999999</v>
      </c>
      <c r="J45" s="3">
        <f t="shared" si="3"/>
        <v>5962.7510000000002</v>
      </c>
    </row>
    <row r="46" spans="2:10" x14ac:dyDescent="0.2">
      <c r="B46" s="3">
        <v>14</v>
      </c>
      <c r="C46" s="3">
        <v>0</v>
      </c>
      <c r="D46" s="3">
        <v>0</v>
      </c>
      <c r="E46" s="3">
        <v>0</v>
      </c>
      <c r="F46" s="3">
        <v>0</v>
      </c>
      <c r="G46" s="3">
        <v>0</v>
      </c>
      <c r="H46" s="3">
        <v>1110.431</v>
      </c>
      <c r="I46" s="3">
        <v>1681.789</v>
      </c>
      <c r="J46" s="3">
        <f t="shared" si="3"/>
        <v>2792.2200000000003</v>
      </c>
    </row>
    <row r="47" spans="2:10" x14ac:dyDescent="0.2">
      <c r="B47" s="3">
        <v>15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f t="shared" si="3"/>
        <v>0</v>
      </c>
    </row>
    <row r="48" spans="2:10" x14ac:dyDescent="0.2">
      <c r="B48" s="3">
        <v>16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7263.73</v>
      </c>
      <c r="J48" s="3">
        <f t="shared" si="3"/>
        <v>7263.73</v>
      </c>
    </row>
    <row r="49" spans="1:10" x14ac:dyDescent="0.2">
      <c r="C49" s="3">
        <f t="shared" ref="C49:I49" si="4">SUMPRODUCT($B$32:$B$48,C32:C48)</f>
        <v>1161626.355</v>
      </c>
      <c r="D49" s="3">
        <f t="shared" si="4"/>
        <v>4987025.8710000003</v>
      </c>
      <c r="E49" s="3">
        <f t="shared" si="4"/>
        <v>8116432.1125000007</v>
      </c>
      <c r="F49" s="3">
        <f t="shared" si="4"/>
        <v>10752560.389899999</v>
      </c>
      <c r="G49" s="3">
        <f t="shared" si="4"/>
        <v>11800281.906000005</v>
      </c>
      <c r="H49" s="3">
        <f t="shared" si="4"/>
        <v>13023824.945999999</v>
      </c>
      <c r="I49" s="3">
        <f t="shared" si="4"/>
        <v>12665804.731000002</v>
      </c>
      <c r="J49" s="3">
        <f>SUM(C49:I49)</f>
        <v>62507556.311400011</v>
      </c>
    </row>
    <row r="50" spans="1:10" s="10" customFormat="1" x14ac:dyDescent="0.2">
      <c r="C50" s="11"/>
      <c r="D50" s="11"/>
      <c r="E50" s="11"/>
      <c r="F50" s="11"/>
      <c r="J50" s="11"/>
    </row>
    <row r="51" spans="1:10" x14ac:dyDescent="0.2">
      <c r="B51" t="s">
        <v>16</v>
      </c>
      <c r="C51" t="s">
        <v>3</v>
      </c>
      <c r="D51">
        <v>2</v>
      </c>
    </row>
    <row r="53" spans="1:10" x14ac:dyDescent="0.2">
      <c r="B53" t="s">
        <v>7</v>
      </c>
    </row>
    <row r="54" spans="1:10" x14ac:dyDescent="0.2">
      <c r="A54" t="s">
        <v>35</v>
      </c>
      <c r="C54" s="3" t="s">
        <v>8</v>
      </c>
      <c r="D54" s="3" t="s">
        <v>9</v>
      </c>
      <c r="E54" s="3" t="s">
        <v>10</v>
      </c>
      <c r="F54" s="3" t="s">
        <v>11</v>
      </c>
      <c r="G54" s="3" t="s">
        <v>12</v>
      </c>
      <c r="H54" s="3" t="s">
        <v>13</v>
      </c>
      <c r="I54" s="3" t="s">
        <v>14</v>
      </c>
      <c r="J54" s="3" t="s">
        <v>28</v>
      </c>
    </row>
    <row r="55" spans="1:10" x14ac:dyDescent="0.2">
      <c r="B55" s="3">
        <v>0</v>
      </c>
      <c r="C55" s="3">
        <v>1208290</v>
      </c>
      <c r="D55" s="3">
        <v>608719</v>
      </c>
      <c r="E55" s="3">
        <v>265109.5</v>
      </c>
      <c r="F55" s="3">
        <v>148879.6</v>
      </c>
      <c r="G55" s="3">
        <v>60381.14</v>
      </c>
      <c r="H55" s="3">
        <v>87225.85</v>
      </c>
      <c r="I55" s="3">
        <v>108084.6</v>
      </c>
      <c r="J55" s="3">
        <f>SUM(C55:I55)</f>
        <v>2486689.6900000004</v>
      </c>
    </row>
    <row r="56" spans="1:10" x14ac:dyDescent="0.2">
      <c r="B56" s="3">
        <v>1</v>
      </c>
      <c r="C56" s="3">
        <v>272811</v>
      </c>
      <c r="D56" s="3">
        <v>547906.69999999995</v>
      </c>
      <c r="E56" s="3">
        <v>327476.59999999998</v>
      </c>
      <c r="F56" s="3">
        <v>177341.9</v>
      </c>
      <c r="G56" s="3">
        <v>196606.1</v>
      </c>
      <c r="H56" s="3">
        <v>114216</v>
      </c>
      <c r="I56" s="3">
        <v>50046.84</v>
      </c>
      <c r="J56" s="3">
        <f t="shared" ref="J56:J71" si="5">SUM(C56:I56)</f>
        <v>1686405.14</v>
      </c>
    </row>
    <row r="57" spans="1:10" x14ac:dyDescent="0.2">
      <c r="B57" s="3">
        <v>2</v>
      </c>
      <c r="C57" s="3">
        <v>40241.730000000003</v>
      </c>
      <c r="D57" s="3">
        <v>210665.1</v>
      </c>
      <c r="E57" s="3">
        <v>417491.8</v>
      </c>
      <c r="F57" s="3">
        <v>411114.6</v>
      </c>
      <c r="G57" s="3">
        <v>339103.4</v>
      </c>
      <c r="H57" s="3">
        <v>395370.8</v>
      </c>
      <c r="I57" s="3">
        <v>181949.2</v>
      </c>
      <c r="J57" s="3">
        <f t="shared" si="5"/>
        <v>1995936.63</v>
      </c>
    </row>
    <row r="58" spans="1:10" x14ac:dyDescent="0.2">
      <c r="B58" s="3">
        <v>3</v>
      </c>
      <c r="C58" s="3">
        <v>14879.94</v>
      </c>
      <c r="D58" s="3">
        <v>116820.8</v>
      </c>
      <c r="E58" s="3">
        <v>174728.3</v>
      </c>
      <c r="F58" s="3">
        <v>226932.2</v>
      </c>
      <c r="G58" s="3">
        <v>216990.4</v>
      </c>
      <c r="H58" s="3">
        <v>205757.9</v>
      </c>
      <c r="I58" s="3">
        <v>183681.6</v>
      </c>
      <c r="J58" s="3">
        <f t="shared" si="5"/>
        <v>1139791.1400000001</v>
      </c>
    </row>
    <row r="59" spans="1:10" x14ac:dyDescent="0.2">
      <c r="B59" s="3">
        <v>4</v>
      </c>
      <c r="C59" s="3">
        <v>1092.2</v>
      </c>
      <c r="D59" s="3">
        <v>20853.82</v>
      </c>
      <c r="E59" s="3">
        <v>70252.570000000007</v>
      </c>
      <c r="F59" s="3">
        <v>81050.66</v>
      </c>
      <c r="G59" s="3">
        <v>131349.9</v>
      </c>
      <c r="H59" s="3">
        <v>128689.9</v>
      </c>
      <c r="I59" s="3">
        <v>101789.5</v>
      </c>
      <c r="J59" s="3">
        <f t="shared" si="5"/>
        <v>535078.55000000005</v>
      </c>
    </row>
    <row r="60" spans="1:10" x14ac:dyDescent="0.2">
      <c r="B60" s="3">
        <v>5</v>
      </c>
      <c r="C60" s="3">
        <v>0</v>
      </c>
      <c r="D60" s="3">
        <v>6705.4589999999998</v>
      </c>
      <c r="E60" s="3">
        <v>11904.74</v>
      </c>
      <c r="F60" s="3">
        <v>53186.37</v>
      </c>
      <c r="G60" s="3">
        <v>47772.62</v>
      </c>
      <c r="H60" s="3">
        <v>100725.7</v>
      </c>
      <c r="I60" s="3">
        <v>65598.149999999994</v>
      </c>
      <c r="J60" s="3">
        <f t="shared" si="5"/>
        <v>285893.03899999999</v>
      </c>
    </row>
    <row r="61" spans="1:10" x14ac:dyDescent="0.2">
      <c r="B61" s="3">
        <v>6</v>
      </c>
      <c r="C61" s="3">
        <v>0</v>
      </c>
      <c r="D61" s="3">
        <v>1528.3969999999999</v>
      </c>
      <c r="E61" s="3">
        <v>3481.645</v>
      </c>
      <c r="F61" s="3">
        <v>18911.43</v>
      </c>
      <c r="G61" s="3">
        <v>37891.26</v>
      </c>
      <c r="H61" s="3">
        <v>47967.5</v>
      </c>
      <c r="I61" s="3">
        <v>54314.54</v>
      </c>
      <c r="J61" s="3">
        <f t="shared" si="5"/>
        <v>164094.772</v>
      </c>
    </row>
    <row r="62" spans="1:10" x14ac:dyDescent="0.2">
      <c r="B62" s="3">
        <v>7</v>
      </c>
      <c r="C62" s="3">
        <v>0</v>
      </c>
      <c r="D62" s="3">
        <v>0</v>
      </c>
      <c r="E62" s="3">
        <v>1193.3150000000001</v>
      </c>
      <c r="F62" s="3">
        <v>3543.462</v>
      </c>
      <c r="G62" s="3">
        <v>22185.17</v>
      </c>
      <c r="H62" s="3">
        <v>32682.82</v>
      </c>
      <c r="I62" s="3">
        <v>54032.47</v>
      </c>
      <c r="J62" s="3">
        <f t="shared" si="5"/>
        <v>113637.23699999999</v>
      </c>
    </row>
    <row r="63" spans="1:10" x14ac:dyDescent="0.2">
      <c r="B63" s="3">
        <v>8</v>
      </c>
      <c r="C63" s="3">
        <v>0</v>
      </c>
      <c r="D63" s="3">
        <v>0</v>
      </c>
      <c r="E63" s="3">
        <v>2876.308</v>
      </c>
      <c r="F63" s="3">
        <v>1982.5509999999999</v>
      </c>
      <c r="G63" s="3">
        <v>7706.866</v>
      </c>
      <c r="H63" s="3">
        <v>11773.14</v>
      </c>
      <c r="I63" s="3">
        <v>22395.759999999998</v>
      </c>
      <c r="J63" s="3">
        <f t="shared" si="5"/>
        <v>46734.625</v>
      </c>
    </row>
    <row r="64" spans="1:10" x14ac:dyDescent="0.2">
      <c r="B64" s="3">
        <v>9</v>
      </c>
      <c r="C64" s="3">
        <v>0</v>
      </c>
      <c r="D64" s="3">
        <v>0</v>
      </c>
      <c r="E64" s="3">
        <v>0</v>
      </c>
      <c r="F64" s="3">
        <v>0</v>
      </c>
      <c r="G64" s="3">
        <v>3930.616</v>
      </c>
      <c r="H64" s="3">
        <v>18062.59</v>
      </c>
      <c r="I64" s="3">
        <v>5110.7709999999997</v>
      </c>
      <c r="J64" s="3">
        <f t="shared" si="5"/>
        <v>27103.976999999999</v>
      </c>
    </row>
    <row r="65" spans="1:10" x14ac:dyDescent="0.2">
      <c r="B65" s="3">
        <v>10</v>
      </c>
      <c r="C65" s="3">
        <v>0</v>
      </c>
      <c r="D65" s="3">
        <v>0</v>
      </c>
      <c r="E65" s="3">
        <v>0</v>
      </c>
      <c r="F65" s="3">
        <v>499.33319999999998</v>
      </c>
      <c r="G65" s="3">
        <v>1850.338</v>
      </c>
      <c r="H65" s="3">
        <v>2316.0059999999999</v>
      </c>
      <c r="I65" s="3">
        <v>17891.64</v>
      </c>
      <c r="J65" s="3">
        <f t="shared" si="5"/>
        <v>22557.317199999998</v>
      </c>
    </row>
    <row r="66" spans="1:10" x14ac:dyDescent="0.2">
      <c r="B66" s="3">
        <v>11</v>
      </c>
      <c r="C66" s="3">
        <v>0</v>
      </c>
      <c r="D66" s="3">
        <v>0</v>
      </c>
      <c r="E66" s="3">
        <v>0</v>
      </c>
      <c r="F66" s="3">
        <v>0</v>
      </c>
      <c r="G66" s="3">
        <v>163.01220000000001</v>
      </c>
      <c r="H66" s="3">
        <v>14582.56</v>
      </c>
      <c r="I66" s="3">
        <v>6171.7659999999996</v>
      </c>
      <c r="J66" s="3">
        <f t="shared" si="5"/>
        <v>20917.338199999998</v>
      </c>
    </row>
    <row r="67" spans="1:10" x14ac:dyDescent="0.2">
      <c r="B67" s="3">
        <v>12</v>
      </c>
      <c r="C67" s="3">
        <v>0</v>
      </c>
      <c r="D67" s="3">
        <v>0</v>
      </c>
      <c r="E67" s="3">
        <v>0</v>
      </c>
      <c r="F67" s="3">
        <v>0</v>
      </c>
      <c r="G67" s="3">
        <v>480.22559999999999</v>
      </c>
      <c r="H67" s="3">
        <v>2321.5970000000002</v>
      </c>
      <c r="I67" s="3">
        <v>3996.6559999999999</v>
      </c>
      <c r="J67" s="3">
        <f t="shared" si="5"/>
        <v>6798.4786000000004</v>
      </c>
    </row>
    <row r="68" spans="1:10" x14ac:dyDescent="0.2">
      <c r="B68" s="3">
        <v>13</v>
      </c>
      <c r="C68" s="3">
        <v>0</v>
      </c>
      <c r="D68" s="3">
        <v>0</v>
      </c>
      <c r="E68" s="3">
        <v>0</v>
      </c>
      <c r="F68" s="3">
        <v>0</v>
      </c>
      <c r="G68" s="3">
        <v>214.2064</v>
      </c>
      <c r="H68" s="3">
        <v>0</v>
      </c>
      <c r="I68" s="3">
        <v>533.20349999999996</v>
      </c>
      <c r="J68" s="3">
        <f t="shared" si="5"/>
        <v>747.40989999999999</v>
      </c>
    </row>
    <row r="69" spans="1:10" x14ac:dyDescent="0.2">
      <c r="B69" s="3">
        <v>14</v>
      </c>
      <c r="C69" s="3">
        <v>0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f t="shared" si="5"/>
        <v>0</v>
      </c>
    </row>
    <row r="70" spans="1:10" x14ac:dyDescent="0.2">
      <c r="B70" s="3">
        <v>15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220.41079999999999</v>
      </c>
      <c r="J70" s="3">
        <f t="shared" si="5"/>
        <v>220.41079999999999</v>
      </c>
    </row>
    <row r="71" spans="1:10" x14ac:dyDescent="0.2">
      <c r="B71" s="3">
        <v>16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f t="shared" si="5"/>
        <v>0</v>
      </c>
    </row>
    <row r="72" spans="1:10" x14ac:dyDescent="0.2">
      <c r="C72" s="3">
        <f t="shared" ref="C72:I72" si="6">SUMPRODUCT($B$55:$B$71,C55:C71)</f>
        <v>402303.08</v>
      </c>
      <c r="D72" s="3">
        <f t="shared" si="6"/>
        <v>1445812.2569999998</v>
      </c>
      <c r="E72" s="3">
        <f t="shared" si="6"/>
        <v>2079432.6189999999</v>
      </c>
      <c r="F72" s="3">
        <f t="shared" si="6"/>
        <v>2429628.7440000004</v>
      </c>
      <c r="G72" s="3">
        <f t="shared" si="6"/>
        <v>2798564.9266000004</v>
      </c>
      <c r="H72" s="3">
        <f t="shared" si="6"/>
        <v>3525379.9539999999</v>
      </c>
      <c r="I72" s="3">
        <f t="shared" si="6"/>
        <v>2934419.8445000001</v>
      </c>
      <c r="J72" s="3">
        <f>SUM(C72:I72)</f>
        <v>15615541.425100001</v>
      </c>
    </row>
    <row r="73" spans="1:10" x14ac:dyDescent="0.2">
      <c r="A73" t="s">
        <v>0</v>
      </c>
    </row>
    <row r="74" spans="1:10" x14ac:dyDescent="0.2">
      <c r="A74" t="s">
        <v>0</v>
      </c>
      <c r="B74" t="s">
        <v>36</v>
      </c>
      <c r="C74" t="s">
        <v>40</v>
      </c>
    </row>
    <row r="75" spans="1:10" x14ac:dyDescent="0.2">
      <c r="A75" t="s">
        <v>0</v>
      </c>
      <c r="B75" t="s">
        <v>41</v>
      </c>
      <c r="C75" t="s">
        <v>2</v>
      </c>
      <c r="D75" t="s">
        <v>3</v>
      </c>
      <c r="E75" t="s">
        <v>4</v>
      </c>
    </row>
    <row r="76" spans="1:10" x14ac:dyDescent="0.2">
      <c r="B76" t="s">
        <v>18</v>
      </c>
      <c r="C76" t="s">
        <v>3</v>
      </c>
      <c r="D76">
        <v>1</v>
      </c>
    </row>
    <row r="78" spans="1:10" x14ac:dyDescent="0.2">
      <c r="B78" s="3" t="s">
        <v>7</v>
      </c>
      <c r="C78" s="3"/>
      <c r="D78" s="3"/>
      <c r="E78" s="3"/>
      <c r="F78" s="3"/>
      <c r="G78" s="3"/>
      <c r="H78" s="3"/>
      <c r="I78" s="3"/>
    </row>
    <row r="79" spans="1:10" x14ac:dyDescent="0.2">
      <c r="A79" t="s">
        <v>35</v>
      </c>
      <c r="C79" s="3" t="s">
        <v>8</v>
      </c>
      <c r="D79" s="3" t="s">
        <v>9</v>
      </c>
      <c r="E79" s="3" t="s">
        <v>10</v>
      </c>
      <c r="F79" s="3" t="s">
        <v>11</v>
      </c>
      <c r="G79" s="3" t="s">
        <v>12</v>
      </c>
      <c r="H79" s="3" t="s">
        <v>13</v>
      </c>
      <c r="I79" s="3" t="s">
        <v>14</v>
      </c>
      <c r="J79" s="3" t="s">
        <v>28</v>
      </c>
    </row>
    <row r="80" spans="1:10" x14ac:dyDescent="0.2">
      <c r="B80" s="3">
        <v>0</v>
      </c>
      <c r="C80" s="3">
        <v>569080.4</v>
      </c>
      <c r="D80" s="3">
        <v>297623.3</v>
      </c>
      <c r="E80" s="3">
        <v>117040.8</v>
      </c>
      <c r="F80" s="3">
        <v>60226.02</v>
      </c>
      <c r="G80" s="3">
        <v>45037.39</v>
      </c>
      <c r="H80" s="3">
        <v>26503.05</v>
      </c>
      <c r="I80" s="3">
        <v>22919.71</v>
      </c>
      <c r="J80" s="3">
        <f>SUM(C80:I80)</f>
        <v>1138430.67</v>
      </c>
    </row>
    <row r="81" spans="2:10" x14ac:dyDescent="0.2">
      <c r="B81" s="3">
        <v>1</v>
      </c>
      <c r="C81" s="3">
        <v>135770.70000000001</v>
      </c>
      <c r="D81" s="3">
        <v>190378.6</v>
      </c>
      <c r="E81" s="3">
        <v>168762.6</v>
      </c>
      <c r="F81" s="3">
        <v>78129.2</v>
      </c>
      <c r="G81" s="3">
        <v>53774.8</v>
      </c>
      <c r="H81" s="3">
        <v>40732.71</v>
      </c>
      <c r="I81" s="3">
        <v>23649.51</v>
      </c>
      <c r="J81" s="3">
        <f t="shared" ref="J81:J96" si="7">SUM(C81:I81)</f>
        <v>691198.12</v>
      </c>
    </row>
    <row r="82" spans="2:10" x14ac:dyDescent="0.2">
      <c r="B82" s="3">
        <v>2</v>
      </c>
      <c r="C82" s="3">
        <v>28835.16</v>
      </c>
      <c r="D82" s="3">
        <v>144997.6</v>
      </c>
      <c r="E82" s="3">
        <v>146974.1</v>
      </c>
      <c r="F82" s="3">
        <v>157722.1</v>
      </c>
      <c r="G82" s="3">
        <v>134277.5</v>
      </c>
      <c r="H82" s="3">
        <v>121341.1</v>
      </c>
      <c r="I82" s="3">
        <v>57451.65</v>
      </c>
      <c r="J82" s="3">
        <f t="shared" si="7"/>
        <v>791599.21</v>
      </c>
    </row>
    <row r="83" spans="2:10" x14ac:dyDescent="0.2">
      <c r="B83" s="3">
        <v>3</v>
      </c>
      <c r="C83" s="3">
        <v>14258.49</v>
      </c>
      <c r="D83" s="3">
        <v>55077.54</v>
      </c>
      <c r="E83" s="3">
        <v>120703.4</v>
      </c>
      <c r="F83" s="3">
        <v>147796.20000000001</v>
      </c>
      <c r="G83" s="3">
        <v>97469.09</v>
      </c>
      <c r="H83" s="3">
        <v>78942.2</v>
      </c>
      <c r="I83" s="3">
        <v>59139.78</v>
      </c>
      <c r="J83" s="3">
        <f t="shared" si="7"/>
        <v>573386.69999999995</v>
      </c>
    </row>
    <row r="84" spans="2:10" x14ac:dyDescent="0.2">
      <c r="B84" s="3">
        <v>4</v>
      </c>
      <c r="C84" s="3">
        <v>0</v>
      </c>
      <c r="D84" s="3">
        <v>27351.62</v>
      </c>
      <c r="E84" s="3">
        <v>60337.42</v>
      </c>
      <c r="F84" s="3">
        <v>76868.800000000003</v>
      </c>
      <c r="G84" s="3">
        <v>63719.9</v>
      </c>
      <c r="H84" s="3">
        <v>47945.11</v>
      </c>
      <c r="I84" s="3">
        <v>31298.7</v>
      </c>
      <c r="J84" s="3">
        <f t="shared" si="7"/>
        <v>307521.55</v>
      </c>
    </row>
    <row r="85" spans="2:10" x14ac:dyDescent="0.2">
      <c r="B85" s="3">
        <v>5</v>
      </c>
      <c r="C85" s="3">
        <v>0</v>
      </c>
      <c r="D85" s="3">
        <v>825.24779999999998</v>
      </c>
      <c r="E85" s="3">
        <v>18029.669999999998</v>
      </c>
      <c r="F85" s="3">
        <v>43296.160000000003</v>
      </c>
      <c r="G85" s="3">
        <v>44698.21</v>
      </c>
      <c r="H85" s="3">
        <v>41446.33</v>
      </c>
      <c r="I85" s="3">
        <v>25285.73</v>
      </c>
      <c r="J85" s="3">
        <f t="shared" si="7"/>
        <v>173581.34780000002</v>
      </c>
    </row>
    <row r="86" spans="2:10" x14ac:dyDescent="0.2">
      <c r="B86" s="3">
        <v>6</v>
      </c>
      <c r="C86" s="3">
        <v>0</v>
      </c>
      <c r="D86" s="3">
        <v>2627.6030000000001</v>
      </c>
      <c r="E86" s="3">
        <v>5587.9629999999997</v>
      </c>
      <c r="F86" s="3">
        <v>25840.53</v>
      </c>
      <c r="G86" s="3">
        <v>16601.03</v>
      </c>
      <c r="H86" s="3">
        <v>16681.439999999999</v>
      </c>
      <c r="I86" s="3">
        <v>22337.41</v>
      </c>
      <c r="J86" s="3">
        <f t="shared" si="7"/>
        <v>89675.975999999995</v>
      </c>
    </row>
    <row r="87" spans="2:10" x14ac:dyDescent="0.2">
      <c r="B87" s="3">
        <v>7</v>
      </c>
      <c r="C87" s="3">
        <v>0</v>
      </c>
      <c r="D87" s="3">
        <v>0</v>
      </c>
      <c r="E87" s="3">
        <v>285.69170000000003</v>
      </c>
      <c r="F87" s="3">
        <v>6624.1589999999997</v>
      </c>
      <c r="G87" s="3">
        <v>10486.24</v>
      </c>
      <c r="H87" s="3">
        <v>12639.24</v>
      </c>
      <c r="I87" s="3">
        <v>3803.3879999999999</v>
      </c>
      <c r="J87" s="3">
        <f t="shared" si="7"/>
        <v>33838.718699999998</v>
      </c>
    </row>
    <row r="88" spans="2:10" x14ac:dyDescent="0.2">
      <c r="B88" s="3">
        <v>8</v>
      </c>
      <c r="C88" s="3">
        <v>0</v>
      </c>
      <c r="D88" s="3">
        <v>0</v>
      </c>
      <c r="E88" s="3">
        <v>0</v>
      </c>
      <c r="F88" s="3">
        <v>3145.2660000000001</v>
      </c>
      <c r="G88" s="3">
        <v>10094.43</v>
      </c>
      <c r="H88" s="3">
        <v>6986.2510000000002</v>
      </c>
      <c r="I88" s="3">
        <v>21847.52</v>
      </c>
      <c r="J88" s="3">
        <f t="shared" si="7"/>
        <v>42073.467000000004</v>
      </c>
    </row>
    <row r="89" spans="2:10" x14ac:dyDescent="0.2">
      <c r="B89" s="3">
        <v>9</v>
      </c>
      <c r="C89" s="3">
        <v>0</v>
      </c>
      <c r="D89" s="3">
        <v>0</v>
      </c>
      <c r="E89" s="3">
        <v>0</v>
      </c>
      <c r="F89" s="3">
        <v>0</v>
      </c>
      <c r="G89" s="3">
        <v>1845.63</v>
      </c>
      <c r="H89" s="3">
        <v>13202.6</v>
      </c>
      <c r="I89" s="3">
        <v>1514.655</v>
      </c>
      <c r="J89" s="3">
        <f t="shared" si="7"/>
        <v>16562.884999999998</v>
      </c>
    </row>
    <row r="90" spans="2:10" x14ac:dyDescent="0.2">
      <c r="B90" s="3">
        <v>10</v>
      </c>
      <c r="C90" s="3">
        <v>0</v>
      </c>
      <c r="D90" s="3">
        <v>0</v>
      </c>
      <c r="E90" s="3">
        <v>0</v>
      </c>
      <c r="F90" s="3">
        <v>254.11320000000001</v>
      </c>
      <c r="G90" s="3">
        <v>1082.3779999999999</v>
      </c>
      <c r="H90" s="3">
        <v>2297.2579999999998</v>
      </c>
      <c r="I90" s="3">
        <v>6576.3459999999995</v>
      </c>
      <c r="J90" s="3">
        <f t="shared" si="7"/>
        <v>10210.0952</v>
      </c>
    </row>
    <row r="91" spans="2:10" x14ac:dyDescent="0.2">
      <c r="B91" s="3">
        <v>11</v>
      </c>
      <c r="C91" s="3">
        <v>0</v>
      </c>
      <c r="D91" s="3">
        <v>0</v>
      </c>
      <c r="E91" s="3">
        <v>0</v>
      </c>
      <c r="F91" s="3">
        <v>0</v>
      </c>
      <c r="G91" s="3">
        <v>163.01220000000001</v>
      </c>
      <c r="H91" s="3">
        <v>0</v>
      </c>
      <c r="I91" s="3">
        <v>1855.2439999999999</v>
      </c>
      <c r="J91" s="3">
        <f t="shared" si="7"/>
        <v>2018.2561999999998</v>
      </c>
    </row>
    <row r="92" spans="2:10" x14ac:dyDescent="0.2">
      <c r="B92" s="3">
        <v>12</v>
      </c>
      <c r="C92" s="3">
        <v>0</v>
      </c>
      <c r="D92" s="3">
        <v>0</v>
      </c>
      <c r="E92" s="3">
        <v>0</v>
      </c>
      <c r="F92" s="3">
        <v>0</v>
      </c>
      <c r="G92" s="3">
        <v>480.22559999999999</v>
      </c>
      <c r="H92" s="3">
        <v>3204.43</v>
      </c>
      <c r="I92" s="3">
        <v>2921.1149999999998</v>
      </c>
      <c r="J92" s="3">
        <f t="shared" si="7"/>
        <v>6605.7705999999998</v>
      </c>
    </row>
    <row r="93" spans="2:10" x14ac:dyDescent="0.2">
      <c r="B93" s="3">
        <v>13</v>
      </c>
      <c r="C93" s="3">
        <v>0</v>
      </c>
      <c r="D93" s="3">
        <v>0</v>
      </c>
      <c r="E93" s="3">
        <v>0</v>
      </c>
      <c r="F93" s="3">
        <v>0</v>
      </c>
      <c r="G93" s="3">
        <v>214.2064</v>
      </c>
      <c r="H93" s="3">
        <v>339.41399999999999</v>
      </c>
      <c r="I93" s="3">
        <v>0</v>
      </c>
      <c r="J93" s="3">
        <f t="shared" si="7"/>
        <v>553.62040000000002</v>
      </c>
    </row>
    <row r="94" spans="2:10" x14ac:dyDescent="0.2">
      <c r="B94" s="3">
        <v>14</v>
      </c>
      <c r="C94" s="3">
        <v>0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f t="shared" si="7"/>
        <v>0</v>
      </c>
    </row>
    <row r="95" spans="2:10" x14ac:dyDescent="0.2">
      <c r="B95" s="3">
        <v>15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f t="shared" si="7"/>
        <v>0</v>
      </c>
    </row>
    <row r="96" spans="2:10" x14ac:dyDescent="0.2">
      <c r="B96" s="3">
        <v>16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f t="shared" si="7"/>
        <v>0</v>
      </c>
    </row>
    <row r="97" spans="1:10" x14ac:dyDescent="0.2">
      <c r="C97" s="3">
        <f t="shared" ref="C97:J97" si="8">SUMPRODUCT($B$80:$B$96,C80:C96)</f>
        <v>236216.49000000002</v>
      </c>
      <c r="D97" s="3">
        <f t="shared" si="8"/>
        <v>774904.75699999998</v>
      </c>
      <c r="E97" s="3">
        <f t="shared" si="8"/>
        <v>1191846.6499000001</v>
      </c>
      <c r="F97" s="3">
        <f t="shared" si="8"/>
        <v>1590033.5529999998</v>
      </c>
      <c r="G97" s="3">
        <f t="shared" si="8"/>
        <v>1384647.9945999999</v>
      </c>
      <c r="H97" s="3">
        <f t="shared" si="8"/>
        <v>1348368.4499999997</v>
      </c>
      <c r="I97" s="3">
        <f t="shared" si="8"/>
        <v>1037880.355</v>
      </c>
      <c r="J97" s="3">
        <f t="shared" si="8"/>
        <v>7563898.249499999</v>
      </c>
    </row>
    <row r="98" spans="1:10" x14ac:dyDescent="0.2">
      <c r="B98" t="s">
        <v>18</v>
      </c>
      <c r="C98" t="s">
        <v>3</v>
      </c>
      <c r="D98">
        <v>2</v>
      </c>
    </row>
    <row r="100" spans="1:10" x14ac:dyDescent="0.2">
      <c r="B100" s="3" t="s">
        <v>7</v>
      </c>
      <c r="C100" s="3"/>
      <c r="D100" s="3"/>
      <c r="E100" s="3"/>
      <c r="F100" s="3"/>
      <c r="G100" s="3"/>
      <c r="H100" s="3"/>
      <c r="I100" s="3"/>
    </row>
    <row r="101" spans="1:10" x14ac:dyDescent="0.2">
      <c r="A101" t="s">
        <v>35</v>
      </c>
      <c r="B101" s="3" t="s">
        <v>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13</v>
      </c>
      <c r="H101" s="3" t="s">
        <v>14</v>
      </c>
      <c r="I101" s="3"/>
      <c r="J101" s="3" t="s">
        <v>28</v>
      </c>
    </row>
    <row r="102" spans="1:10" x14ac:dyDescent="0.2">
      <c r="B102" s="3">
        <v>0</v>
      </c>
      <c r="C102" s="3">
        <v>2111040</v>
      </c>
      <c r="D102" s="3">
        <v>1065959</v>
      </c>
      <c r="E102" s="3">
        <v>576027.9</v>
      </c>
      <c r="F102" s="3">
        <v>270442.8</v>
      </c>
      <c r="G102" s="3">
        <v>193674.1</v>
      </c>
      <c r="H102" s="3">
        <v>178551.8</v>
      </c>
      <c r="I102" s="3">
        <v>274988.59999999998</v>
      </c>
      <c r="J102" s="3">
        <f>SUM(C102:I102)</f>
        <v>4670684.1999999993</v>
      </c>
    </row>
    <row r="103" spans="1:10" x14ac:dyDescent="0.2">
      <c r="B103" s="3">
        <v>1</v>
      </c>
      <c r="C103" s="3">
        <v>341533.5</v>
      </c>
      <c r="D103" s="3">
        <v>724714.1</v>
      </c>
      <c r="E103" s="3">
        <v>679842.1</v>
      </c>
      <c r="F103" s="3">
        <v>411180.1</v>
      </c>
      <c r="G103" s="3">
        <v>345742.7</v>
      </c>
      <c r="H103" s="3">
        <v>200171.5</v>
      </c>
      <c r="I103" s="3">
        <v>167285.4</v>
      </c>
      <c r="J103" s="3">
        <f t="shared" ref="J103:J118" si="9">SUM(C103:I103)</f>
        <v>2870469.4000000004</v>
      </c>
    </row>
    <row r="104" spans="1:10" x14ac:dyDescent="0.2">
      <c r="B104" s="3">
        <v>2</v>
      </c>
      <c r="C104" s="3">
        <v>83825.06</v>
      </c>
      <c r="D104" s="3">
        <v>386720.4</v>
      </c>
      <c r="E104" s="3">
        <v>532413.4</v>
      </c>
      <c r="F104" s="3">
        <v>672107.9</v>
      </c>
      <c r="G104" s="3">
        <v>538529.6</v>
      </c>
      <c r="H104" s="3">
        <v>437880.1</v>
      </c>
      <c r="I104" s="3">
        <v>237855.6</v>
      </c>
      <c r="J104" s="3">
        <f t="shared" si="9"/>
        <v>2889332.0600000005</v>
      </c>
    </row>
    <row r="105" spans="1:10" x14ac:dyDescent="0.2">
      <c r="B105" s="3">
        <v>3</v>
      </c>
      <c r="C105" s="3">
        <v>4741.6379999999999</v>
      </c>
      <c r="D105" s="3">
        <v>184534.8</v>
      </c>
      <c r="E105" s="3">
        <v>319909</v>
      </c>
      <c r="F105" s="3">
        <v>286068.09999999998</v>
      </c>
      <c r="G105" s="3">
        <v>370199.2</v>
      </c>
      <c r="H105" s="3">
        <v>304271</v>
      </c>
      <c r="I105" s="3">
        <v>270571.90000000002</v>
      </c>
      <c r="J105" s="3">
        <f t="shared" si="9"/>
        <v>1740295.6379999998</v>
      </c>
    </row>
    <row r="106" spans="1:10" x14ac:dyDescent="0.2">
      <c r="B106" s="3">
        <v>4</v>
      </c>
      <c r="C106" s="3">
        <v>0</v>
      </c>
      <c r="D106" s="3">
        <v>17550.45</v>
      </c>
      <c r="E106" s="3">
        <v>95121.16</v>
      </c>
      <c r="F106" s="3">
        <v>95564.74</v>
      </c>
      <c r="G106" s="3">
        <v>188371.5</v>
      </c>
      <c r="H106" s="3">
        <v>121705.7</v>
      </c>
      <c r="I106" s="3">
        <v>132676.9</v>
      </c>
      <c r="J106" s="3">
        <f t="shared" si="9"/>
        <v>650990.44999999995</v>
      </c>
    </row>
    <row r="107" spans="1:10" x14ac:dyDescent="0.2">
      <c r="B107" s="3">
        <v>5</v>
      </c>
      <c r="C107" s="3">
        <v>0</v>
      </c>
      <c r="D107" s="3">
        <v>6974.2839999999997</v>
      </c>
      <c r="E107" s="3">
        <v>23800.42</v>
      </c>
      <c r="F107" s="3">
        <v>80056.58</v>
      </c>
      <c r="G107" s="3">
        <v>75393.16</v>
      </c>
      <c r="H107" s="3">
        <v>141564.9</v>
      </c>
      <c r="I107" s="3">
        <v>118497.1</v>
      </c>
      <c r="J107" s="3">
        <f t="shared" si="9"/>
        <v>446286.44400000002</v>
      </c>
    </row>
    <row r="108" spans="1:10" x14ac:dyDescent="0.2">
      <c r="B108" s="3">
        <v>6</v>
      </c>
      <c r="C108" s="3">
        <v>0</v>
      </c>
      <c r="D108" s="3">
        <v>0</v>
      </c>
      <c r="E108" s="3">
        <v>4471.9719999999998</v>
      </c>
      <c r="F108" s="3">
        <v>24816.75</v>
      </c>
      <c r="G108" s="3">
        <v>45760.08</v>
      </c>
      <c r="H108" s="3">
        <v>81342.98</v>
      </c>
      <c r="I108" s="3">
        <v>93289.47</v>
      </c>
      <c r="J108" s="3">
        <f t="shared" si="9"/>
        <v>249681.25200000001</v>
      </c>
    </row>
    <row r="109" spans="1:10" x14ac:dyDescent="0.2">
      <c r="B109" s="3">
        <v>7</v>
      </c>
      <c r="C109" s="3">
        <v>0</v>
      </c>
      <c r="D109" s="3">
        <v>4354.6499999999996</v>
      </c>
      <c r="E109" s="3">
        <v>0</v>
      </c>
      <c r="F109" s="3">
        <v>27872.19</v>
      </c>
      <c r="G109" s="3">
        <v>13233.17</v>
      </c>
      <c r="H109" s="3">
        <v>25749.5</v>
      </c>
      <c r="I109" s="3">
        <v>53655.16</v>
      </c>
      <c r="J109" s="3">
        <f t="shared" si="9"/>
        <v>124864.67</v>
      </c>
    </row>
    <row r="110" spans="1:10" x14ac:dyDescent="0.2">
      <c r="B110" s="3">
        <v>8</v>
      </c>
      <c r="C110" s="3">
        <v>0</v>
      </c>
      <c r="D110" s="3">
        <v>0</v>
      </c>
      <c r="E110" s="3">
        <v>2722.6930000000002</v>
      </c>
      <c r="F110" s="3">
        <v>303.44049999999999</v>
      </c>
      <c r="G110" s="3">
        <v>4031.4079999999999</v>
      </c>
      <c r="H110" s="3">
        <v>19130.759999999998</v>
      </c>
      <c r="I110" s="3">
        <v>15888.12</v>
      </c>
      <c r="J110" s="3">
        <f t="shared" si="9"/>
        <v>42076.421499999997</v>
      </c>
    </row>
    <row r="111" spans="1:10" x14ac:dyDescent="0.2">
      <c r="B111" s="3">
        <v>9</v>
      </c>
      <c r="C111" s="3">
        <v>0</v>
      </c>
      <c r="D111" s="3">
        <v>0</v>
      </c>
      <c r="E111" s="3">
        <v>0</v>
      </c>
      <c r="F111" s="3">
        <v>0</v>
      </c>
      <c r="G111" s="3">
        <v>15396.44</v>
      </c>
      <c r="H111" s="3">
        <v>28927.39</v>
      </c>
      <c r="I111" s="3">
        <v>19296.7</v>
      </c>
      <c r="J111" s="3">
        <f t="shared" si="9"/>
        <v>63620.53</v>
      </c>
    </row>
    <row r="112" spans="1:10" x14ac:dyDescent="0.2">
      <c r="B112" s="3">
        <v>10</v>
      </c>
      <c r="C112" s="3">
        <v>0</v>
      </c>
      <c r="D112" s="3">
        <v>0</v>
      </c>
      <c r="E112" s="3">
        <v>0</v>
      </c>
      <c r="F112" s="3">
        <v>245.22</v>
      </c>
      <c r="G112" s="3">
        <v>957.03330000000005</v>
      </c>
      <c r="H112" s="3">
        <v>5019.5510000000004</v>
      </c>
      <c r="I112" s="3">
        <v>16511.73</v>
      </c>
      <c r="J112" s="3">
        <f t="shared" si="9"/>
        <v>22733.534299999999</v>
      </c>
    </row>
    <row r="113" spans="1:10" x14ac:dyDescent="0.2">
      <c r="B113" s="3">
        <v>11</v>
      </c>
      <c r="C113" s="3">
        <v>0</v>
      </c>
      <c r="D113" s="3">
        <v>0</v>
      </c>
      <c r="E113" s="3">
        <v>0</v>
      </c>
      <c r="F113" s="3">
        <v>0</v>
      </c>
      <c r="G113" s="3">
        <v>1207.3710000000001</v>
      </c>
      <c r="H113" s="3">
        <v>24736.31</v>
      </c>
      <c r="I113" s="3">
        <v>1853.0050000000001</v>
      </c>
      <c r="J113" s="3">
        <f t="shared" si="9"/>
        <v>27796.686000000002</v>
      </c>
    </row>
    <row r="114" spans="1:10" x14ac:dyDescent="0.2">
      <c r="B114" s="3">
        <v>12</v>
      </c>
      <c r="C114" s="3">
        <v>0</v>
      </c>
      <c r="D114" s="3">
        <v>0</v>
      </c>
      <c r="E114" s="3">
        <v>0</v>
      </c>
      <c r="F114" s="3">
        <v>0</v>
      </c>
      <c r="G114" s="3">
        <v>0</v>
      </c>
      <c r="H114" s="3">
        <v>1213.2670000000001</v>
      </c>
      <c r="I114" s="3">
        <v>7575.8419999999996</v>
      </c>
      <c r="J114" s="3">
        <f t="shared" si="9"/>
        <v>8789.1090000000004</v>
      </c>
    </row>
    <row r="115" spans="1:10" x14ac:dyDescent="0.2">
      <c r="B115" s="3">
        <v>13</v>
      </c>
      <c r="C115" s="3">
        <v>0</v>
      </c>
      <c r="D115" s="3">
        <v>0</v>
      </c>
      <c r="E115" s="3">
        <v>0</v>
      </c>
      <c r="F115" s="3">
        <v>0</v>
      </c>
      <c r="G115" s="3">
        <v>1774.2660000000001</v>
      </c>
      <c r="H115" s="3">
        <v>0</v>
      </c>
      <c r="I115" s="3">
        <v>4334.7089999999998</v>
      </c>
      <c r="J115" s="3">
        <f t="shared" si="9"/>
        <v>6108.9750000000004</v>
      </c>
    </row>
    <row r="116" spans="1:10" x14ac:dyDescent="0.2">
      <c r="B116" s="3">
        <v>14</v>
      </c>
      <c r="C116" s="3">
        <v>0</v>
      </c>
      <c r="D116" s="3">
        <v>0</v>
      </c>
      <c r="E116" s="3">
        <v>0</v>
      </c>
      <c r="F116" s="3">
        <v>0</v>
      </c>
      <c r="G116" s="3">
        <v>0</v>
      </c>
      <c r="H116" s="3">
        <v>1110.431</v>
      </c>
      <c r="I116" s="3">
        <v>0</v>
      </c>
      <c r="J116" s="3">
        <f t="shared" si="9"/>
        <v>1110.431</v>
      </c>
    </row>
    <row r="117" spans="1:10" x14ac:dyDescent="0.2">
      <c r="B117" s="3">
        <v>15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220.41079999999999</v>
      </c>
      <c r="J117" s="3">
        <f t="shared" si="9"/>
        <v>220.41079999999999</v>
      </c>
    </row>
    <row r="118" spans="1:10" x14ac:dyDescent="0.2">
      <c r="B118" s="3">
        <v>16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7263.73</v>
      </c>
      <c r="J118" s="3">
        <f t="shared" si="9"/>
        <v>7263.73</v>
      </c>
    </row>
    <row r="119" spans="1:10" x14ac:dyDescent="0.2">
      <c r="C119" s="3">
        <f t="shared" ref="C119:I119" si="10">SUMPRODUCT($B$102:$B$118,C102:C118)</f>
        <v>523408.53399999999</v>
      </c>
      <c r="D119" s="3">
        <f t="shared" si="10"/>
        <v>2187315.0699999994</v>
      </c>
      <c r="E119" s="3">
        <f t="shared" si="10"/>
        <v>3252496.0160000003</v>
      </c>
      <c r="F119" s="3">
        <f t="shared" si="10"/>
        <v>3745027.6140000001</v>
      </c>
      <c r="G119" s="3">
        <f t="shared" si="10"/>
        <v>4247780.0659999996</v>
      </c>
      <c r="H119" s="3">
        <f t="shared" si="10"/>
        <v>4617489.1279999996</v>
      </c>
      <c r="I119" s="3">
        <f t="shared" si="10"/>
        <v>4266291.1179999998</v>
      </c>
      <c r="J119" s="3">
        <f>SUMPRODUCT($B$80:$B$96,J102:J118)</f>
        <v>22839807.546</v>
      </c>
    </row>
    <row r="120" spans="1:10" x14ac:dyDescent="0.2">
      <c r="B120" t="s">
        <v>18</v>
      </c>
      <c r="C120" t="s">
        <v>3</v>
      </c>
      <c r="D120">
        <v>3</v>
      </c>
    </row>
    <row r="122" spans="1:10" x14ac:dyDescent="0.2">
      <c r="B122" t="s">
        <v>7</v>
      </c>
    </row>
    <row r="123" spans="1:10" x14ac:dyDescent="0.2">
      <c r="A123" t="s">
        <v>35</v>
      </c>
      <c r="B123" s="3" t="s">
        <v>8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13</v>
      </c>
      <c r="H123" s="3" t="s">
        <v>14</v>
      </c>
      <c r="I123" s="3"/>
      <c r="J123" s="3" t="s">
        <v>28</v>
      </c>
    </row>
    <row r="124" spans="1:10" x14ac:dyDescent="0.2">
      <c r="B124" s="3">
        <v>0</v>
      </c>
      <c r="C124" s="3">
        <v>2917802</v>
      </c>
      <c r="D124" s="3">
        <v>2283146</v>
      </c>
      <c r="E124" s="3">
        <v>1287052</v>
      </c>
      <c r="F124" s="3">
        <v>562534.5</v>
      </c>
      <c r="G124" s="3">
        <v>555693.6</v>
      </c>
      <c r="H124" s="3">
        <v>313464.2</v>
      </c>
      <c r="I124" s="3">
        <v>377485.1</v>
      </c>
      <c r="J124" s="3">
        <f>SUM(C124:I124)</f>
        <v>8297177.3999999994</v>
      </c>
    </row>
    <row r="125" spans="1:10" x14ac:dyDescent="0.2">
      <c r="B125" s="3">
        <v>1</v>
      </c>
      <c r="C125" s="3">
        <v>445612.3</v>
      </c>
      <c r="D125" s="3">
        <v>1036909</v>
      </c>
      <c r="E125" s="3">
        <v>1006982</v>
      </c>
      <c r="F125" s="3">
        <v>927551.4</v>
      </c>
      <c r="G125" s="3">
        <v>877970.5</v>
      </c>
      <c r="H125" s="3">
        <v>703120.8</v>
      </c>
      <c r="I125" s="3">
        <v>427038.9</v>
      </c>
      <c r="J125" s="3">
        <f t="shared" ref="J125:J140" si="11">SUM(C125:I125)</f>
        <v>5425184.8999999994</v>
      </c>
    </row>
    <row r="126" spans="1:10" x14ac:dyDescent="0.2">
      <c r="B126" s="3">
        <v>2</v>
      </c>
      <c r="C126" s="3">
        <v>17357.72</v>
      </c>
      <c r="D126" s="3">
        <v>418122.8</v>
      </c>
      <c r="E126" s="3">
        <v>645508.9</v>
      </c>
      <c r="F126" s="3">
        <v>1006786</v>
      </c>
      <c r="G126" s="3">
        <v>1086481</v>
      </c>
      <c r="H126" s="3">
        <v>1120546</v>
      </c>
      <c r="I126" s="3">
        <v>988820.7</v>
      </c>
      <c r="J126" s="3">
        <f t="shared" si="11"/>
        <v>5283623.12</v>
      </c>
    </row>
    <row r="127" spans="1:10" x14ac:dyDescent="0.2">
      <c r="B127" s="3">
        <v>3</v>
      </c>
      <c r="C127" s="3">
        <v>0</v>
      </c>
      <c r="D127" s="3">
        <v>92385.47</v>
      </c>
      <c r="E127" s="3">
        <v>409736.2</v>
      </c>
      <c r="F127" s="3">
        <v>561626.80000000005</v>
      </c>
      <c r="G127" s="3">
        <v>488142.6</v>
      </c>
      <c r="H127" s="3">
        <v>667570.30000000005</v>
      </c>
      <c r="I127" s="3">
        <v>494831.5</v>
      </c>
      <c r="J127" s="3">
        <f t="shared" si="11"/>
        <v>2714292.87</v>
      </c>
    </row>
    <row r="128" spans="1:10" x14ac:dyDescent="0.2">
      <c r="B128" s="3">
        <v>4</v>
      </c>
      <c r="C128" s="3">
        <v>0</v>
      </c>
      <c r="D128" s="3">
        <v>3091.1689999999999</v>
      </c>
      <c r="E128" s="3">
        <v>41137.21</v>
      </c>
      <c r="F128" s="3">
        <v>66249.13</v>
      </c>
      <c r="G128" s="3">
        <v>232237.8</v>
      </c>
      <c r="H128" s="3">
        <v>189645.1</v>
      </c>
      <c r="I128" s="3">
        <v>230030.5</v>
      </c>
      <c r="J128" s="3">
        <f t="shared" si="11"/>
        <v>762390.90899999999</v>
      </c>
    </row>
    <row r="129" spans="2:10" x14ac:dyDescent="0.2">
      <c r="B129" s="3">
        <v>5</v>
      </c>
      <c r="C129" s="3">
        <v>0</v>
      </c>
      <c r="D129" s="3">
        <v>653.82069999999999</v>
      </c>
      <c r="E129" s="3">
        <v>11043.95</v>
      </c>
      <c r="F129" s="3">
        <v>36493.96</v>
      </c>
      <c r="G129" s="3">
        <v>25291.87</v>
      </c>
      <c r="H129" s="3">
        <v>83776.42</v>
      </c>
      <c r="I129" s="3">
        <v>86697.99</v>
      </c>
      <c r="J129" s="3">
        <f t="shared" si="11"/>
        <v>243958.01069999998</v>
      </c>
    </row>
    <row r="130" spans="2:10" x14ac:dyDescent="0.2">
      <c r="B130" s="3">
        <v>6</v>
      </c>
      <c r="C130" s="3">
        <v>0</v>
      </c>
      <c r="D130" s="3">
        <v>0</v>
      </c>
      <c r="E130" s="3">
        <v>1577.7190000000001</v>
      </c>
      <c r="F130" s="3">
        <v>8632.7739999999994</v>
      </c>
      <c r="G130" s="3">
        <v>3489.9850000000001</v>
      </c>
      <c r="H130" s="3">
        <v>46163.79</v>
      </c>
      <c r="I130" s="3">
        <v>105191.2</v>
      </c>
      <c r="J130" s="3">
        <f t="shared" si="11"/>
        <v>165055.46799999999</v>
      </c>
    </row>
    <row r="131" spans="2:10" x14ac:dyDescent="0.2">
      <c r="B131" s="3">
        <v>7</v>
      </c>
      <c r="C131" s="3">
        <v>0</v>
      </c>
      <c r="D131" s="3">
        <v>0</v>
      </c>
      <c r="E131" s="3">
        <v>907.62350000000004</v>
      </c>
      <c r="F131" s="3">
        <v>584.59730000000002</v>
      </c>
      <c r="G131" s="3">
        <v>55378.93</v>
      </c>
      <c r="H131" s="3">
        <v>24143.05</v>
      </c>
      <c r="I131" s="3">
        <v>21110.41</v>
      </c>
      <c r="J131" s="3">
        <f t="shared" si="11"/>
        <v>102124.61080000001</v>
      </c>
    </row>
    <row r="132" spans="2:10" x14ac:dyDescent="0.2">
      <c r="B132" s="3">
        <v>8</v>
      </c>
      <c r="C132" s="3">
        <v>0</v>
      </c>
      <c r="D132" s="3">
        <v>0</v>
      </c>
      <c r="E132" s="3">
        <v>0</v>
      </c>
      <c r="F132" s="3">
        <v>263.76990000000001</v>
      </c>
      <c r="G132" s="3">
        <v>2216.4679999999998</v>
      </c>
      <c r="H132" s="3">
        <v>2098.6860000000001</v>
      </c>
      <c r="I132" s="3">
        <v>36828.660000000003</v>
      </c>
      <c r="J132" s="3">
        <f t="shared" si="11"/>
        <v>41407.583900000005</v>
      </c>
    </row>
    <row r="133" spans="2:10" x14ac:dyDescent="0.2">
      <c r="B133" s="3">
        <v>9</v>
      </c>
      <c r="C133" s="3">
        <v>0</v>
      </c>
      <c r="D133" s="3">
        <v>0</v>
      </c>
      <c r="E133" s="3">
        <v>0</v>
      </c>
      <c r="F133" s="3">
        <v>0</v>
      </c>
      <c r="G133" s="3">
        <v>6023.3789999999999</v>
      </c>
      <c r="H133" s="3">
        <v>4339.2579999999998</v>
      </c>
      <c r="I133" s="3">
        <v>4209.8490000000002</v>
      </c>
      <c r="J133" s="3">
        <f t="shared" si="11"/>
        <v>14572.485999999999</v>
      </c>
    </row>
    <row r="134" spans="2:10" x14ac:dyDescent="0.2">
      <c r="B134" s="3">
        <v>10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47.565060000000003</v>
      </c>
      <c r="I134" s="3">
        <v>20478.02</v>
      </c>
      <c r="J134" s="3">
        <f t="shared" si="11"/>
        <v>20525.585060000001</v>
      </c>
    </row>
    <row r="135" spans="2:10" x14ac:dyDescent="0.2">
      <c r="B135" s="3">
        <v>11</v>
      </c>
      <c r="C135" s="3">
        <v>0</v>
      </c>
      <c r="D135" s="3">
        <v>0</v>
      </c>
      <c r="E135" s="3">
        <v>0</v>
      </c>
      <c r="F135" s="3">
        <v>0</v>
      </c>
      <c r="G135" s="3">
        <v>0</v>
      </c>
      <c r="H135" s="3">
        <v>2081.8560000000002</v>
      </c>
      <c r="I135" s="3">
        <v>2802.0140000000001</v>
      </c>
      <c r="J135" s="3">
        <f t="shared" si="11"/>
        <v>4883.8700000000008</v>
      </c>
    </row>
    <row r="136" spans="2:10" x14ac:dyDescent="0.2">
      <c r="B136" s="3">
        <v>12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0</v>
      </c>
      <c r="I136" s="3">
        <v>621.60599999999999</v>
      </c>
      <c r="J136" s="3">
        <f t="shared" si="11"/>
        <v>621.60599999999999</v>
      </c>
    </row>
    <row r="137" spans="2:10" x14ac:dyDescent="0.2">
      <c r="B137" s="3">
        <v>13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47.565060000000003</v>
      </c>
      <c r="J137" s="3">
        <f t="shared" si="11"/>
        <v>47.565060000000003</v>
      </c>
    </row>
    <row r="138" spans="2:10" x14ac:dyDescent="0.2">
      <c r="B138" s="3">
        <v>14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f t="shared" si="11"/>
        <v>0</v>
      </c>
    </row>
    <row r="139" spans="2:10" x14ac:dyDescent="0.2">
      <c r="B139" s="3">
        <v>15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f t="shared" si="11"/>
        <v>0</v>
      </c>
    </row>
    <row r="140" spans="2:10" x14ac:dyDescent="0.2">
      <c r="B140" s="3">
        <v>16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f t="shared" si="11"/>
        <v>0</v>
      </c>
    </row>
    <row r="141" spans="2:10" x14ac:dyDescent="0.2">
      <c r="C141" s="3">
        <f t="shared" ref="C141:I141" si="12">SUMPRODUCT($B$124:$B$140,C124:C140)</f>
        <v>480327.74</v>
      </c>
      <c r="D141" s="3">
        <f t="shared" si="12"/>
        <v>2165944.7895000004</v>
      </c>
      <c r="E141" s="3">
        <f t="shared" si="12"/>
        <v>3762796.6684999997</v>
      </c>
      <c r="F141" s="3">
        <f t="shared" si="12"/>
        <v>5131469.1042999998</v>
      </c>
      <c r="G141" s="3">
        <f t="shared" si="12"/>
        <v>6051305.4249999998</v>
      </c>
      <c r="H141" s="3">
        <f t="shared" si="12"/>
        <v>6649589.1666000001</v>
      </c>
      <c r="I141" s="3">
        <f t="shared" si="12"/>
        <v>6597904.7127800006</v>
      </c>
      <c r="J141" s="3">
        <f>SUMPRODUCT($B$80:$B$96,J124:J140)</f>
        <v>30839337.606680002</v>
      </c>
    </row>
    <row r="142" spans="2:10" x14ac:dyDescent="0.2">
      <c r="B142" t="s">
        <v>18</v>
      </c>
      <c r="C142" t="s">
        <v>3</v>
      </c>
      <c r="D142">
        <v>4</v>
      </c>
    </row>
    <row r="144" spans="2:10" x14ac:dyDescent="0.2">
      <c r="B144" s="3" t="s">
        <v>7</v>
      </c>
      <c r="C144" s="3"/>
      <c r="D144" s="3"/>
      <c r="E144" s="3"/>
      <c r="F144" s="3"/>
      <c r="G144" s="3"/>
      <c r="H144" s="3"/>
      <c r="I144" s="3"/>
    </row>
    <row r="145" spans="1:10" x14ac:dyDescent="0.2">
      <c r="A145" t="s">
        <v>35</v>
      </c>
      <c r="B145" s="3" t="s">
        <v>8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13</v>
      </c>
      <c r="H145" s="3" t="s">
        <v>14</v>
      </c>
      <c r="I145" s="3"/>
      <c r="J145" s="3" t="s">
        <v>28</v>
      </c>
    </row>
    <row r="146" spans="1:10" x14ac:dyDescent="0.2">
      <c r="B146" s="3">
        <v>0</v>
      </c>
      <c r="C146" s="3">
        <v>997568.6</v>
      </c>
      <c r="D146" s="3">
        <v>558807.69999999995</v>
      </c>
      <c r="E146" s="3">
        <v>469059.7</v>
      </c>
      <c r="F146" s="3">
        <v>249284.9</v>
      </c>
      <c r="G146" s="3">
        <v>96513.21</v>
      </c>
      <c r="H146" s="3">
        <v>113843.7</v>
      </c>
      <c r="I146" s="3">
        <v>79632.710000000006</v>
      </c>
      <c r="J146" s="3">
        <f>SUM(C146:I146)</f>
        <v>2564710.52</v>
      </c>
    </row>
    <row r="147" spans="1:10" x14ac:dyDescent="0.2">
      <c r="B147" s="3">
        <v>1</v>
      </c>
      <c r="C147" s="3">
        <v>140910</v>
      </c>
      <c r="D147" s="3">
        <v>381700.4</v>
      </c>
      <c r="E147" s="3">
        <v>380090.3</v>
      </c>
      <c r="F147" s="3">
        <v>283045.5</v>
      </c>
      <c r="G147" s="3">
        <v>258016.3</v>
      </c>
      <c r="H147" s="3">
        <v>269382.2</v>
      </c>
      <c r="I147" s="3">
        <v>171970.7</v>
      </c>
      <c r="J147" s="3">
        <f t="shared" ref="J147:J162" si="13">SUM(C147:I147)</f>
        <v>1885115.4</v>
      </c>
    </row>
    <row r="148" spans="1:10" x14ac:dyDescent="0.2">
      <c r="B148" s="3">
        <v>2</v>
      </c>
      <c r="C148" s="3">
        <v>26742.04</v>
      </c>
      <c r="D148" s="3">
        <v>124794.5</v>
      </c>
      <c r="E148" s="3">
        <v>227651.3</v>
      </c>
      <c r="F148" s="3">
        <v>370413.5</v>
      </c>
      <c r="G148" s="3">
        <v>378755.7</v>
      </c>
      <c r="H148" s="3">
        <v>486720.4</v>
      </c>
      <c r="I148" s="3">
        <v>312130.3</v>
      </c>
      <c r="J148" s="3">
        <f t="shared" si="13"/>
        <v>1927207.74</v>
      </c>
    </row>
    <row r="149" spans="1:10" x14ac:dyDescent="0.2">
      <c r="B149" s="3">
        <v>3</v>
      </c>
      <c r="C149" s="3">
        <v>0</v>
      </c>
      <c r="D149" s="3">
        <v>27384.06</v>
      </c>
      <c r="E149" s="3">
        <v>58795.16</v>
      </c>
      <c r="F149" s="3">
        <v>153950.70000000001</v>
      </c>
      <c r="G149" s="3">
        <v>156604.4</v>
      </c>
      <c r="H149" s="3">
        <v>254697.8</v>
      </c>
      <c r="I149" s="3">
        <v>218286.1</v>
      </c>
      <c r="J149" s="3">
        <f t="shared" si="13"/>
        <v>869718.22</v>
      </c>
    </row>
    <row r="150" spans="1:10" x14ac:dyDescent="0.2">
      <c r="B150" s="3">
        <v>4</v>
      </c>
      <c r="C150" s="3">
        <v>0</v>
      </c>
      <c r="D150" s="3">
        <v>6493.4809999999998</v>
      </c>
      <c r="E150" s="3">
        <v>25584.43</v>
      </c>
      <c r="F150" s="3">
        <v>40827.71</v>
      </c>
      <c r="G150" s="3">
        <v>42777.01</v>
      </c>
      <c r="H150" s="3">
        <v>104000.6</v>
      </c>
      <c r="I150" s="3">
        <v>151552.29999999999</v>
      </c>
      <c r="J150" s="3">
        <f t="shared" si="13"/>
        <v>371235.53099999996</v>
      </c>
    </row>
    <row r="151" spans="1:10" x14ac:dyDescent="0.2">
      <c r="B151" s="3">
        <v>5</v>
      </c>
      <c r="C151" s="3">
        <v>0</v>
      </c>
      <c r="D151" s="3">
        <v>958.56740000000002</v>
      </c>
      <c r="E151" s="3">
        <v>5952.5190000000002</v>
      </c>
      <c r="F151" s="3">
        <v>11578.57</v>
      </c>
      <c r="G151" s="3">
        <v>21233.72</v>
      </c>
      <c r="H151" s="3">
        <v>33172.03</v>
      </c>
      <c r="I151" s="3">
        <v>28818.65</v>
      </c>
      <c r="J151" s="3">
        <f t="shared" si="13"/>
        <v>101714.0564</v>
      </c>
    </row>
    <row r="152" spans="1:10" x14ac:dyDescent="0.2">
      <c r="B152" s="3">
        <v>6</v>
      </c>
      <c r="C152" s="3">
        <v>0</v>
      </c>
      <c r="D152" s="3">
        <v>0</v>
      </c>
      <c r="E152" s="3">
        <v>0</v>
      </c>
      <c r="F152" s="3">
        <v>3909.7550000000001</v>
      </c>
      <c r="G152" s="3">
        <v>3338.0940000000001</v>
      </c>
      <c r="H152" s="3">
        <v>8601.6550000000007</v>
      </c>
      <c r="I152" s="3">
        <v>15994.24</v>
      </c>
      <c r="J152" s="3">
        <f t="shared" si="13"/>
        <v>31843.743999999999</v>
      </c>
    </row>
    <row r="153" spans="1:10" x14ac:dyDescent="0.2">
      <c r="B153" s="3">
        <v>7</v>
      </c>
      <c r="C153" s="3">
        <v>0</v>
      </c>
      <c r="D153" s="3">
        <v>0</v>
      </c>
      <c r="E153" s="3">
        <v>0</v>
      </c>
      <c r="F153" s="3">
        <v>0</v>
      </c>
      <c r="G153" s="3">
        <v>1797.809</v>
      </c>
      <c r="H153" s="3">
        <v>4319.8310000000001</v>
      </c>
      <c r="I153" s="3">
        <v>3649.5889999999999</v>
      </c>
      <c r="J153" s="3">
        <f t="shared" si="13"/>
        <v>9767.2289999999994</v>
      </c>
    </row>
    <row r="154" spans="1:10" x14ac:dyDescent="0.2">
      <c r="B154" s="3">
        <v>8</v>
      </c>
      <c r="C154" s="3">
        <v>0</v>
      </c>
      <c r="D154" s="3">
        <v>0</v>
      </c>
      <c r="E154" s="3">
        <v>153.61510000000001</v>
      </c>
      <c r="F154" s="3">
        <v>234.3194</v>
      </c>
      <c r="G154" s="3">
        <v>0</v>
      </c>
      <c r="H154" s="3">
        <v>0</v>
      </c>
      <c r="I154" s="3">
        <v>6595.3419999999996</v>
      </c>
      <c r="J154" s="3">
        <f t="shared" si="13"/>
        <v>6983.2764999999999</v>
      </c>
    </row>
    <row r="155" spans="1:10" x14ac:dyDescent="0.2">
      <c r="B155" s="3">
        <v>9</v>
      </c>
      <c r="C155" s="3">
        <v>0</v>
      </c>
      <c r="D155" s="3">
        <v>0</v>
      </c>
      <c r="E155" s="3">
        <v>0</v>
      </c>
      <c r="F155" s="3">
        <v>577.63620000000003</v>
      </c>
      <c r="G155" s="3">
        <v>328.68560000000002</v>
      </c>
      <c r="H155" s="3">
        <v>273.87709999999998</v>
      </c>
      <c r="I155" s="3">
        <v>1806.873</v>
      </c>
      <c r="J155" s="3">
        <f t="shared" si="13"/>
        <v>2987.0718999999999</v>
      </c>
    </row>
    <row r="156" spans="1:10" x14ac:dyDescent="0.2">
      <c r="B156" s="3">
        <v>10</v>
      </c>
      <c r="C156" s="3">
        <v>0</v>
      </c>
      <c r="D156" s="3">
        <v>0</v>
      </c>
      <c r="E156" s="3">
        <v>0</v>
      </c>
      <c r="F156" s="3">
        <v>68.603610000000003</v>
      </c>
      <c r="G156" s="3">
        <v>0</v>
      </c>
      <c r="H156" s="3">
        <v>0</v>
      </c>
      <c r="I156" s="3">
        <v>5799.2439999999997</v>
      </c>
      <c r="J156" s="3">
        <f t="shared" si="13"/>
        <v>5867.8476099999998</v>
      </c>
    </row>
    <row r="157" spans="1:10" x14ac:dyDescent="0.2">
      <c r="B157" s="3">
        <v>11</v>
      </c>
      <c r="C157" s="3">
        <v>0</v>
      </c>
      <c r="D157" s="3">
        <v>0</v>
      </c>
      <c r="E157" s="3">
        <v>0</v>
      </c>
      <c r="F157" s="3">
        <v>0</v>
      </c>
      <c r="G157" s="3">
        <v>783.17880000000002</v>
      </c>
      <c r="H157" s="3">
        <v>0</v>
      </c>
      <c r="I157" s="3">
        <v>1952.21</v>
      </c>
      <c r="J157" s="3">
        <f t="shared" si="13"/>
        <v>2735.3888000000002</v>
      </c>
    </row>
    <row r="158" spans="1:10" x14ac:dyDescent="0.2">
      <c r="B158" s="3">
        <v>12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0</v>
      </c>
      <c r="I158" s="3">
        <v>0</v>
      </c>
      <c r="J158" s="3">
        <f t="shared" si="13"/>
        <v>0</v>
      </c>
    </row>
    <row r="159" spans="1:10" x14ac:dyDescent="0.2">
      <c r="B159" s="3">
        <v>13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f t="shared" si="13"/>
        <v>0</v>
      </c>
    </row>
    <row r="160" spans="1:10" x14ac:dyDescent="0.2">
      <c r="B160" s="3">
        <v>14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f t="shared" si="13"/>
        <v>0</v>
      </c>
    </row>
    <row r="161" spans="1:10" x14ac:dyDescent="0.2">
      <c r="B161" s="3">
        <v>15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f t="shared" si="13"/>
        <v>0</v>
      </c>
    </row>
    <row r="162" spans="1:10" x14ac:dyDescent="0.2">
      <c r="B162" s="3">
        <v>16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f t="shared" si="13"/>
        <v>0</v>
      </c>
    </row>
    <row r="163" spans="1:10" x14ac:dyDescent="0.2">
      <c r="C163" s="3">
        <f t="shared" ref="C163:I163" si="14">SUMPRODUCT($B$146:$B$162,C146:C162)</f>
        <v>194394.08000000002</v>
      </c>
      <c r="D163" s="3">
        <f t="shared" si="14"/>
        <v>744208.34100000013</v>
      </c>
      <c r="E163" s="3">
        <f t="shared" si="14"/>
        <v>1145107.6157999998</v>
      </c>
      <c r="F163" s="3">
        <f t="shared" si="14"/>
        <v>1738146.1371000002</v>
      </c>
      <c r="G163" s="3">
        <f t="shared" si="14"/>
        <v>1806803.9042</v>
      </c>
      <c r="H163" s="3">
        <f t="shared" si="14"/>
        <v>2673092.5908999997</v>
      </c>
      <c r="I163" s="3">
        <f t="shared" si="14"/>
        <v>2471395.9559999998</v>
      </c>
      <c r="J163" s="3">
        <f>SUMPRODUCT($B$80:$B$96,J146:J162)</f>
        <v>10773148.624999998</v>
      </c>
    </row>
    <row r="164" spans="1:10" x14ac:dyDescent="0.2">
      <c r="B164" t="s">
        <v>18</v>
      </c>
      <c r="C164" t="s">
        <v>3</v>
      </c>
      <c r="D164">
        <v>5</v>
      </c>
    </row>
    <row r="166" spans="1:10" x14ac:dyDescent="0.2">
      <c r="B166" t="s">
        <v>7</v>
      </c>
    </row>
    <row r="167" spans="1:10" x14ac:dyDescent="0.2">
      <c r="A167" t="s">
        <v>35</v>
      </c>
      <c r="C167" s="3" t="s">
        <v>8</v>
      </c>
      <c r="D167" s="3" t="s">
        <v>9</v>
      </c>
      <c r="E167" s="3" t="s">
        <v>10</v>
      </c>
      <c r="F167" s="3" t="s">
        <v>11</v>
      </c>
      <c r="G167" s="3" t="s">
        <v>12</v>
      </c>
      <c r="H167" s="3" t="s">
        <v>13</v>
      </c>
      <c r="I167" s="3" t="s">
        <v>14</v>
      </c>
      <c r="J167" s="3" t="s">
        <v>28</v>
      </c>
    </row>
    <row r="168" spans="1:10" x14ac:dyDescent="0.2">
      <c r="B168" s="3">
        <v>0</v>
      </c>
      <c r="C168" s="3">
        <v>463136.7</v>
      </c>
      <c r="D168" s="3">
        <v>249425.9</v>
      </c>
      <c r="E168" s="3">
        <v>142007.20000000001</v>
      </c>
      <c r="F168" s="3">
        <v>88957.65</v>
      </c>
      <c r="G168" s="3">
        <v>71939.649999999994</v>
      </c>
      <c r="H168" s="3">
        <v>33834.83</v>
      </c>
      <c r="I168" s="3">
        <v>43151.85</v>
      </c>
      <c r="J168" s="3">
        <f>SUM(C168:I168)</f>
        <v>1092453.7800000003</v>
      </c>
    </row>
    <row r="169" spans="1:10" x14ac:dyDescent="0.2">
      <c r="B169" s="3">
        <v>1</v>
      </c>
      <c r="C169" s="3">
        <v>111765.2</v>
      </c>
      <c r="D169" s="3">
        <v>225008.1</v>
      </c>
      <c r="E169" s="3">
        <v>179116.7</v>
      </c>
      <c r="F169" s="3">
        <v>108272.2</v>
      </c>
      <c r="G169" s="3">
        <v>68221.539999999994</v>
      </c>
      <c r="H169" s="3">
        <v>63222.19</v>
      </c>
      <c r="I169" s="3">
        <v>57507.06</v>
      </c>
      <c r="J169" s="3">
        <f t="shared" ref="J169:J184" si="15">SUM(C169:I169)</f>
        <v>813112.99</v>
      </c>
    </row>
    <row r="170" spans="1:10" x14ac:dyDescent="0.2">
      <c r="B170" s="3">
        <v>2</v>
      </c>
      <c r="C170" s="3">
        <v>6724.366</v>
      </c>
      <c r="D170" s="3">
        <v>103516.2</v>
      </c>
      <c r="E170" s="3">
        <v>157736.9</v>
      </c>
      <c r="F170" s="3">
        <v>178416.5</v>
      </c>
      <c r="G170" s="3">
        <v>232960.8</v>
      </c>
      <c r="H170" s="3">
        <v>246475.6</v>
      </c>
      <c r="I170" s="3">
        <v>113818.7</v>
      </c>
      <c r="J170" s="3">
        <f t="shared" si="15"/>
        <v>1039649.066</v>
      </c>
    </row>
    <row r="171" spans="1:10" x14ac:dyDescent="0.2">
      <c r="B171" s="3">
        <v>3</v>
      </c>
      <c r="C171" s="3">
        <v>0</v>
      </c>
      <c r="D171" s="3">
        <v>27840.63</v>
      </c>
      <c r="E171" s="3">
        <v>68572.91</v>
      </c>
      <c r="F171" s="3">
        <v>99577.26</v>
      </c>
      <c r="G171" s="3">
        <v>99201.45</v>
      </c>
      <c r="H171" s="3">
        <v>115219.2</v>
      </c>
      <c r="I171" s="3">
        <v>99656.4</v>
      </c>
      <c r="J171" s="3">
        <f t="shared" si="15"/>
        <v>510067.85</v>
      </c>
    </row>
    <row r="172" spans="1:10" x14ac:dyDescent="0.2">
      <c r="B172" s="3">
        <v>4</v>
      </c>
      <c r="C172" s="3">
        <v>1092.2</v>
      </c>
      <c r="D172" s="3">
        <v>8734.6730000000007</v>
      </c>
      <c r="E172" s="3">
        <v>22850.14</v>
      </c>
      <c r="F172" s="3">
        <v>33773.160000000003</v>
      </c>
      <c r="G172" s="3">
        <v>34514.39</v>
      </c>
      <c r="H172" s="3">
        <v>42481.16</v>
      </c>
      <c r="I172" s="3">
        <v>72487.199999999997</v>
      </c>
      <c r="J172" s="3">
        <f t="shared" si="15"/>
        <v>215932.92300000001</v>
      </c>
    </row>
    <row r="173" spans="1:10" x14ac:dyDescent="0.2">
      <c r="B173" s="3">
        <v>5</v>
      </c>
      <c r="C173" s="3">
        <v>0</v>
      </c>
      <c r="D173" s="3">
        <v>1992.912</v>
      </c>
      <c r="E173" s="3">
        <v>8137.4229999999998</v>
      </c>
      <c r="F173" s="3">
        <v>7504.8829999999998</v>
      </c>
      <c r="G173" s="3">
        <v>12044.61</v>
      </c>
      <c r="H173" s="3">
        <v>13614.89</v>
      </c>
      <c r="I173" s="3">
        <v>20322.13</v>
      </c>
      <c r="J173" s="3">
        <f t="shared" si="15"/>
        <v>63616.847999999998</v>
      </c>
    </row>
    <row r="174" spans="1:10" x14ac:dyDescent="0.2">
      <c r="B174" s="3">
        <v>6</v>
      </c>
      <c r="C174" s="3">
        <v>0</v>
      </c>
      <c r="D174" s="3">
        <v>0</v>
      </c>
      <c r="E174" s="3">
        <v>1499.5309999999999</v>
      </c>
      <c r="F174" s="3">
        <v>6258.4089999999997</v>
      </c>
      <c r="G174" s="3">
        <v>5828.3819999999996</v>
      </c>
      <c r="H174" s="3">
        <v>10354.93</v>
      </c>
      <c r="I174" s="3">
        <v>18645.64</v>
      </c>
      <c r="J174" s="3">
        <f t="shared" si="15"/>
        <v>42586.892</v>
      </c>
    </row>
    <row r="175" spans="1:10" x14ac:dyDescent="0.2">
      <c r="B175" s="3">
        <v>7</v>
      </c>
      <c r="C175" s="3">
        <v>0</v>
      </c>
      <c r="D175" s="3">
        <v>0</v>
      </c>
      <c r="E175" s="3">
        <v>317.60950000000003</v>
      </c>
      <c r="F175" s="3">
        <v>0</v>
      </c>
      <c r="G175" s="3">
        <v>3904.5439999999999</v>
      </c>
      <c r="H175" s="3">
        <v>2728.6149999999998</v>
      </c>
      <c r="I175" s="3">
        <v>4273.2610000000004</v>
      </c>
      <c r="J175" s="3">
        <f t="shared" si="15"/>
        <v>11224.029500000001</v>
      </c>
    </row>
    <row r="176" spans="1:10" x14ac:dyDescent="0.2">
      <c r="B176" s="3">
        <v>8</v>
      </c>
      <c r="C176" s="3">
        <v>0</v>
      </c>
      <c r="D176" s="3">
        <v>0</v>
      </c>
      <c r="E176" s="3">
        <v>0</v>
      </c>
      <c r="F176" s="3">
        <v>354.02199999999999</v>
      </c>
      <c r="G176" s="3">
        <v>1345.83</v>
      </c>
      <c r="H176" s="3">
        <v>2153.3890000000001</v>
      </c>
      <c r="I176" s="3">
        <v>4166.585</v>
      </c>
      <c r="J176" s="3">
        <f t="shared" si="15"/>
        <v>8019.826</v>
      </c>
    </row>
    <row r="177" spans="1:10" x14ac:dyDescent="0.2">
      <c r="B177" s="3">
        <v>9</v>
      </c>
      <c r="C177" s="3">
        <v>0</v>
      </c>
      <c r="D177" s="3">
        <v>0</v>
      </c>
      <c r="E177" s="3">
        <v>0</v>
      </c>
      <c r="F177" s="3">
        <v>75.088059999999999</v>
      </c>
      <c r="G177" s="3">
        <v>579.20519999999999</v>
      </c>
      <c r="H177" s="3">
        <v>197.11099999999999</v>
      </c>
      <c r="I177" s="3">
        <v>278.89850000000001</v>
      </c>
      <c r="J177" s="3">
        <f t="shared" si="15"/>
        <v>1130.30276</v>
      </c>
    </row>
    <row r="178" spans="1:10" x14ac:dyDescent="0.2">
      <c r="B178" s="3">
        <v>10</v>
      </c>
      <c r="C178" s="3">
        <v>0</v>
      </c>
      <c r="D178" s="3">
        <v>0</v>
      </c>
      <c r="E178" s="3">
        <v>0</v>
      </c>
      <c r="F178" s="3">
        <v>0</v>
      </c>
      <c r="G178" s="3">
        <v>0</v>
      </c>
      <c r="H178" s="3">
        <v>0</v>
      </c>
      <c r="I178" s="3">
        <v>2667.0810000000001</v>
      </c>
      <c r="J178" s="3">
        <f t="shared" si="15"/>
        <v>2667.0810000000001</v>
      </c>
    </row>
    <row r="179" spans="1:10" x14ac:dyDescent="0.2">
      <c r="B179" s="3">
        <v>11</v>
      </c>
      <c r="C179" s="3">
        <v>0</v>
      </c>
      <c r="D179" s="3">
        <v>0</v>
      </c>
      <c r="E179" s="3">
        <v>0</v>
      </c>
      <c r="F179" s="3">
        <v>0</v>
      </c>
      <c r="G179" s="3">
        <v>0</v>
      </c>
      <c r="H179" s="3">
        <v>1873.1410000000001</v>
      </c>
      <c r="I179" s="3">
        <v>2056.9769999999999</v>
      </c>
      <c r="J179" s="3">
        <f t="shared" si="15"/>
        <v>3930.1179999999999</v>
      </c>
    </row>
    <row r="180" spans="1:10" x14ac:dyDescent="0.2">
      <c r="B180" s="3">
        <v>12</v>
      </c>
      <c r="C180" s="3">
        <v>0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50.62762</v>
      </c>
      <c r="J180" s="3">
        <f t="shared" si="15"/>
        <v>50.62762</v>
      </c>
    </row>
    <row r="181" spans="1:10" x14ac:dyDescent="0.2">
      <c r="B181" s="3">
        <v>13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0</v>
      </c>
      <c r="J181" s="3">
        <f t="shared" si="15"/>
        <v>0</v>
      </c>
    </row>
    <row r="182" spans="1:10" x14ac:dyDescent="0.2">
      <c r="B182" s="3">
        <v>14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1681.789</v>
      </c>
      <c r="J182" s="3">
        <f t="shared" si="15"/>
        <v>1681.789</v>
      </c>
    </row>
    <row r="183" spans="1:10" x14ac:dyDescent="0.2">
      <c r="B183" s="3">
        <v>15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f t="shared" si="15"/>
        <v>0</v>
      </c>
    </row>
    <row r="184" spans="1:10" x14ac:dyDescent="0.2">
      <c r="B184" s="3">
        <v>16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f t="shared" si="15"/>
        <v>0</v>
      </c>
    </row>
    <row r="185" spans="1:10" x14ac:dyDescent="0.2">
      <c r="B185" s="3"/>
      <c r="C185" s="3">
        <f t="shared" ref="C185:I185" si="16">SUMPRODUCT($B$168:$B$184,C168:C184)</f>
        <v>129582.732</v>
      </c>
      <c r="D185" s="3">
        <f t="shared" si="16"/>
        <v>560465.64200000011</v>
      </c>
      <c r="E185" s="3">
        <f t="shared" si="16"/>
        <v>843617.35750000004</v>
      </c>
      <c r="F185" s="3">
        <f t="shared" si="16"/>
        <v>977512.45754000009</v>
      </c>
      <c r="G185" s="3">
        <f t="shared" si="16"/>
        <v>1108309.6867999998</v>
      </c>
      <c r="H185" s="3">
        <f t="shared" si="16"/>
        <v>1260665.6269999999</v>
      </c>
      <c r="I185" s="3">
        <f t="shared" si="16"/>
        <v>1226752.6779400001</v>
      </c>
      <c r="J185" s="3">
        <f>SUMPRODUCT($B$80:$B$96,J168:J184)</f>
        <v>6106906.180780001</v>
      </c>
    </row>
    <row r="186" spans="1:10" x14ac:dyDescent="0.2">
      <c r="A186" t="s">
        <v>0</v>
      </c>
      <c r="C186" s="3"/>
      <c r="D186" s="3"/>
      <c r="E186" s="3"/>
      <c r="F186" s="3"/>
      <c r="G186" s="3"/>
      <c r="H186" s="3"/>
      <c r="I186" s="3"/>
    </row>
    <row r="187" spans="1:10" s="10" customFormat="1" x14ac:dyDescent="0.2">
      <c r="A187" s="10" t="s">
        <v>0</v>
      </c>
      <c r="B187" s="10" t="s">
        <v>36</v>
      </c>
      <c r="C187" s="10" t="s">
        <v>42</v>
      </c>
    </row>
    <row r="188" spans="1:10" x14ac:dyDescent="0.2">
      <c r="A188" t="s">
        <v>0</v>
      </c>
      <c r="B188" t="s">
        <v>43</v>
      </c>
      <c r="C188" t="s">
        <v>2</v>
      </c>
      <c r="D188" t="s">
        <v>3</v>
      </c>
      <c r="E188" t="s">
        <v>4</v>
      </c>
    </row>
    <row r="189" spans="1:10" x14ac:dyDescent="0.2">
      <c r="B189" t="s">
        <v>20</v>
      </c>
      <c r="C189" t="s">
        <v>3</v>
      </c>
      <c r="D189" t="s">
        <v>21</v>
      </c>
    </row>
    <row r="191" spans="1:10" x14ac:dyDescent="0.2">
      <c r="B191" s="3" t="s">
        <v>7</v>
      </c>
      <c r="C191" s="3"/>
      <c r="D191" s="3"/>
      <c r="E191" s="3"/>
      <c r="F191" s="3"/>
      <c r="G191" s="3"/>
      <c r="H191" s="3"/>
      <c r="I191" s="3"/>
    </row>
    <row r="192" spans="1:10" x14ac:dyDescent="0.2">
      <c r="A192" t="s">
        <v>35</v>
      </c>
      <c r="C192" s="3" t="s">
        <v>8</v>
      </c>
      <c r="D192" s="3" t="s">
        <v>9</v>
      </c>
      <c r="E192" s="3" t="s">
        <v>10</v>
      </c>
      <c r="F192" s="3" t="s">
        <v>11</v>
      </c>
      <c r="G192" s="3" t="s">
        <v>12</v>
      </c>
      <c r="H192" s="3" t="s">
        <v>13</v>
      </c>
      <c r="I192" s="3" t="s">
        <v>14</v>
      </c>
      <c r="J192" s="3" t="s">
        <v>28</v>
      </c>
    </row>
    <row r="193" spans="2:10" x14ac:dyDescent="0.2">
      <c r="B193" s="3">
        <v>0</v>
      </c>
      <c r="C193" s="3">
        <v>1860041.6788999999</v>
      </c>
      <c r="D193" s="3">
        <v>443197.00339999999</v>
      </c>
      <c r="E193" s="3">
        <v>262741.5465</v>
      </c>
      <c r="F193" s="3">
        <v>153609.24729999999</v>
      </c>
      <c r="G193" s="3">
        <v>165435.1372</v>
      </c>
      <c r="H193" s="3">
        <v>124559.20080000001</v>
      </c>
      <c r="I193" s="3">
        <v>311807.33679999999</v>
      </c>
      <c r="J193" s="3">
        <f>SUM(C193:I193)</f>
        <v>3321391.1509000007</v>
      </c>
    </row>
    <row r="194" spans="2:10" x14ac:dyDescent="0.2">
      <c r="B194" s="3">
        <v>1</v>
      </c>
      <c r="C194" s="3">
        <v>495624.4829</v>
      </c>
      <c r="D194" s="3">
        <v>719707.53960000002</v>
      </c>
      <c r="E194" s="3">
        <v>640781.97779999999</v>
      </c>
      <c r="F194" s="3">
        <v>383353.29759999999</v>
      </c>
      <c r="G194" s="3">
        <v>391059.54180000001</v>
      </c>
      <c r="H194" s="3">
        <v>432974.26980000001</v>
      </c>
      <c r="I194" s="3">
        <v>307579.9731</v>
      </c>
      <c r="J194" s="3">
        <f t="shared" ref="J194:J209" si="17">SUM(C194:I194)</f>
        <v>3371081.0826000003</v>
      </c>
    </row>
    <row r="195" spans="2:10" x14ac:dyDescent="0.2">
      <c r="B195" s="3">
        <v>2</v>
      </c>
      <c r="C195" s="3">
        <v>100106.89509999999</v>
      </c>
      <c r="D195" s="3">
        <v>564234.8321</v>
      </c>
      <c r="E195" s="3">
        <v>759324.59290000005</v>
      </c>
      <c r="F195" s="3">
        <v>870029.30500000005</v>
      </c>
      <c r="G195" s="3">
        <v>932366.47779999999</v>
      </c>
      <c r="H195" s="3">
        <v>931517.80660000001</v>
      </c>
      <c r="I195" s="3">
        <v>773149.20460000006</v>
      </c>
      <c r="J195" s="3">
        <f t="shared" si="17"/>
        <v>4930729.1140999999</v>
      </c>
    </row>
    <row r="196" spans="2:10" x14ac:dyDescent="0.2">
      <c r="B196" s="3">
        <v>3</v>
      </c>
      <c r="C196" s="3">
        <v>19000.129199999999</v>
      </c>
      <c r="D196" s="3">
        <v>227481.66630000001</v>
      </c>
      <c r="E196" s="3">
        <v>701666.37230000005</v>
      </c>
      <c r="F196" s="3">
        <v>713836.73210000002</v>
      </c>
      <c r="G196" s="3">
        <v>632999.38199999998</v>
      </c>
      <c r="H196" s="3">
        <v>722486.94039999996</v>
      </c>
      <c r="I196" s="3">
        <v>689837.52289999998</v>
      </c>
      <c r="J196" s="3">
        <f t="shared" si="17"/>
        <v>3707308.7451999998</v>
      </c>
    </row>
    <row r="197" spans="2:10" x14ac:dyDescent="0.2">
      <c r="B197" s="3">
        <v>4</v>
      </c>
      <c r="C197" s="3">
        <v>1092.2003</v>
      </c>
      <c r="D197" s="3">
        <v>45826.6564</v>
      </c>
      <c r="E197" s="3">
        <v>190701.65299999999</v>
      </c>
      <c r="F197" s="3">
        <v>227565.76029999999</v>
      </c>
      <c r="G197" s="3">
        <v>395431.95559999999</v>
      </c>
      <c r="H197" s="3">
        <v>345591.20760000002</v>
      </c>
      <c r="I197" s="3">
        <v>451574.65120000002</v>
      </c>
      <c r="J197" s="3">
        <f t="shared" si="17"/>
        <v>1657784.0844000001</v>
      </c>
    </row>
    <row r="198" spans="2:10" x14ac:dyDescent="0.2">
      <c r="B198" s="3">
        <v>5</v>
      </c>
      <c r="C198" s="3">
        <v>0</v>
      </c>
      <c r="D198" s="3">
        <v>11404.831700000001</v>
      </c>
      <c r="E198" s="3">
        <v>52121.227899999998</v>
      </c>
      <c r="F198" s="3">
        <v>141820.5104</v>
      </c>
      <c r="G198" s="3">
        <v>139082.32310000001</v>
      </c>
      <c r="H198" s="3">
        <v>272078.69390000001</v>
      </c>
      <c r="I198" s="3">
        <v>202553.75459999999</v>
      </c>
      <c r="J198" s="3">
        <f t="shared" si="17"/>
        <v>819061.34160000004</v>
      </c>
    </row>
    <row r="199" spans="2:10" x14ac:dyDescent="0.2">
      <c r="B199" s="3">
        <v>6</v>
      </c>
      <c r="C199" s="3">
        <v>0</v>
      </c>
      <c r="D199" s="3">
        <v>2627.6026000000002</v>
      </c>
      <c r="E199" s="3">
        <v>11726.0761</v>
      </c>
      <c r="F199" s="3">
        <v>62191.541899999997</v>
      </c>
      <c r="G199" s="3">
        <v>63763.111700000001</v>
      </c>
      <c r="H199" s="3">
        <v>153738.08300000001</v>
      </c>
      <c r="I199" s="3">
        <v>198252.7162</v>
      </c>
      <c r="J199" s="3">
        <f t="shared" si="17"/>
        <v>492299.13150000002</v>
      </c>
    </row>
    <row r="200" spans="2:10" x14ac:dyDescent="0.2">
      <c r="B200" s="3">
        <v>7</v>
      </c>
      <c r="C200" s="3">
        <v>0</v>
      </c>
      <c r="D200" s="3">
        <v>4354.6495999999997</v>
      </c>
      <c r="E200" s="3">
        <v>1510.9247</v>
      </c>
      <c r="F200" s="3">
        <v>30173.134300000002</v>
      </c>
      <c r="G200" s="3">
        <v>82224.745800000004</v>
      </c>
      <c r="H200" s="3">
        <v>36225.947399999997</v>
      </c>
      <c r="I200" s="3">
        <v>73667.856299999999</v>
      </c>
      <c r="J200" s="3">
        <f t="shared" si="17"/>
        <v>228157.25809999998</v>
      </c>
    </row>
    <row r="201" spans="2:10" x14ac:dyDescent="0.2">
      <c r="B201" s="3">
        <v>8</v>
      </c>
      <c r="C201" s="3">
        <v>0</v>
      </c>
      <c r="D201" s="3">
        <v>0</v>
      </c>
      <c r="E201" s="3">
        <v>2876.3081000000002</v>
      </c>
      <c r="F201" s="3">
        <v>4300.8181000000004</v>
      </c>
      <c r="G201" s="3">
        <v>14137.8945</v>
      </c>
      <c r="H201" s="3">
        <v>29250.402900000001</v>
      </c>
      <c r="I201" s="3">
        <v>85326.235000000001</v>
      </c>
      <c r="J201" s="3">
        <f t="shared" si="17"/>
        <v>135891.6586</v>
      </c>
    </row>
    <row r="202" spans="2:10" x14ac:dyDescent="0.2">
      <c r="B202" s="3">
        <v>9</v>
      </c>
      <c r="C202" s="3">
        <v>0</v>
      </c>
      <c r="D202" s="3">
        <v>0</v>
      </c>
      <c r="E202" s="3">
        <v>0</v>
      </c>
      <c r="F202" s="3">
        <v>652.7242</v>
      </c>
      <c r="G202" s="3">
        <v>23642.450700000001</v>
      </c>
      <c r="H202" s="3">
        <v>39562.976300000002</v>
      </c>
      <c r="I202" s="3">
        <v>26414.214</v>
      </c>
      <c r="J202" s="3">
        <f t="shared" si="17"/>
        <v>90272.3652</v>
      </c>
    </row>
    <row r="203" spans="2:10" x14ac:dyDescent="0.2">
      <c r="B203" s="3">
        <v>10</v>
      </c>
      <c r="C203" s="3">
        <v>0</v>
      </c>
      <c r="D203" s="3">
        <v>0</v>
      </c>
      <c r="E203" s="3">
        <v>0</v>
      </c>
      <c r="F203" s="3">
        <v>567.93679999999995</v>
      </c>
      <c r="G203" s="3">
        <v>1587.8471</v>
      </c>
      <c r="H203" s="3">
        <v>7364.3734999999997</v>
      </c>
      <c r="I203" s="3">
        <v>50723.331400000003</v>
      </c>
      <c r="J203" s="3">
        <f t="shared" si="17"/>
        <v>60243.488800000006</v>
      </c>
    </row>
    <row r="204" spans="2:10" x14ac:dyDescent="0.2">
      <c r="B204" s="3">
        <v>11</v>
      </c>
      <c r="C204" s="3">
        <v>0</v>
      </c>
      <c r="D204" s="3">
        <v>0</v>
      </c>
      <c r="E204" s="3">
        <v>0</v>
      </c>
      <c r="F204" s="3">
        <v>0</v>
      </c>
      <c r="G204" s="3">
        <v>2153.5619000000002</v>
      </c>
      <c r="H204" s="3">
        <v>28691.3066</v>
      </c>
      <c r="I204" s="3">
        <v>10519.4504</v>
      </c>
      <c r="J204" s="3">
        <f t="shared" si="17"/>
        <v>41364.318899999998</v>
      </c>
    </row>
    <row r="205" spans="2:10" x14ac:dyDescent="0.2">
      <c r="B205" s="3">
        <v>12</v>
      </c>
      <c r="C205" s="3">
        <v>0</v>
      </c>
      <c r="D205" s="3">
        <v>0</v>
      </c>
      <c r="E205" s="3">
        <v>0</v>
      </c>
      <c r="F205" s="3">
        <v>0</v>
      </c>
      <c r="G205" s="3">
        <v>480.22559999999999</v>
      </c>
      <c r="H205" s="3">
        <v>4417.6974</v>
      </c>
      <c r="I205" s="3">
        <v>11169.189899999999</v>
      </c>
      <c r="J205" s="3">
        <f t="shared" si="17"/>
        <v>16067.1129</v>
      </c>
    </row>
    <row r="206" spans="2:10" x14ac:dyDescent="0.2">
      <c r="B206" s="3">
        <v>13</v>
      </c>
      <c r="C206" s="3">
        <v>0</v>
      </c>
      <c r="D206" s="3">
        <v>0</v>
      </c>
      <c r="E206" s="3">
        <v>0</v>
      </c>
      <c r="F206" s="3">
        <v>0</v>
      </c>
      <c r="G206" s="3">
        <v>1988.472</v>
      </c>
      <c r="H206" s="3">
        <v>339.41399999999999</v>
      </c>
      <c r="I206" s="3">
        <v>4382.2745000000004</v>
      </c>
      <c r="J206" s="3">
        <f t="shared" si="17"/>
        <v>6710.1605</v>
      </c>
    </row>
    <row r="207" spans="2:10" x14ac:dyDescent="0.2">
      <c r="B207" s="3">
        <v>14</v>
      </c>
      <c r="C207" s="3">
        <v>0</v>
      </c>
      <c r="D207" s="3">
        <v>0</v>
      </c>
      <c r="E207" s="3">
        <v>0</v>
      </c>
      <c r="F207" s="3">
        <v>0</v>
      </c>
      <c r="G207" s="3">
        <v>0</v>
      </c>
      <c r="H207" s="3">
        <v>1110.4314999999999</v>
      </c>
      <c r="I207" s="3">
        <v>1681.789</v>
      </c>
      <c r="J207" s="3">
        <f t="shared" si="17"/>
        <v>2792.2204999999999</v>
      </c>
    </row>
    <row r="208" spans="2:10" x14ac:dyDescent="0.2">
      <c r="B208" s="3">
        <v>15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0</v>
      </c>
      <c r="I208" s="3">
        <v>220.41079999999999</v>
      </c>
      <c r="J208" s="3">
        <f t="shared" si="17"/>
        <v>220.41079999999999</v>
      </c>
    </row>
    <row r="209" spans="1:10" x14ac:dyDescent="0.2">
      <c r="B209" s="3">
        <v>16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7263.7302</v>
      </c>
      <c r="J209" s="3">
        <f t="shared" si="17"/>
        <v>7263.7302</v>
      </c>
    </row>
    <row r="210" spans="1:10" x14ac:dyDescent="0.2">
      <c r="C210" s="3">
        <f t="shared" ref="C210:I210" si="18">SUMPRODUCT($B$193:$B$209,C193:C209)</f>
        <v>757207.46189999999</v>
      </c>
      <c r="D210" s="3">
        <f t="shared" si="18"/>
        <v>2817201.1496000001</v>
      </c>
      <c r="E210" s="3">
        <f t="shared" si="18"/>
        <v>5391786.4263000004</v>
      </c>
      <c r="F210" s="3">
        <f t="shared" si="18"/>
        <v>6514609.3191999998</v>
      </c>
      <c r="G210" s="3">
        <f t="shared" si="18"/>
        <v>7787147.6794999996</v>
      </c>
      <c r="H210" s="3">
        <f t="shared" si="18"/>
        <v>9434528.0431999974</v>
      </c>
      <c r="I210" s="3">
        <f t="shared" si="18"/>
        <v>10325005.433</v>
      </c>
      <c r="J210" s="3">
        <f>SUMPRODUCT($B$80:$B$96,J193:J209)</f>
        <v>43027485.512699984</v>
      </c>
    </row>
    <row r="211" spans="1:10" x14ac:dyDescent="0.2">
      <c r="B211" t="s">
        <v>20</v>
      </c>
      <c r="C211" t="s">
        <v>3</v>
      </c>
      <c r="D211" s="2">
        <v>45969</v>
      </c>
    </row>
    <row r="213" spans="1:10" x14ac:dyDescent="0.2">
      <c r="B213" s="3" t="s">
        <v>7</v>
      </c>
      <c r="C213" s="3"/>
      <c r="D213" s="3"/>
      <c r="E213" s="3"/>
      <c r="F213" s="3"/>
      <c r="G213" s="3"/>
      <c r="H213" s="3"/>
      <c r="I213" s="3"/>
    </row>
    <row r="214" spans="1:10" x14ac:dyDescent="0.2">
      <c r="A214" t="s">
        <v>35</v>
      </c>
      <c r="C214" s="3" t="s">
        <v>8</v>
      </c>
      <c r="D214" s="3" t="s">
        <v>9</v>
      </c>
      <c r="E214" s="3" t="s">
        <v>10</v>
      </c>
      <c r="F214" s="3" t="s">
        <v>11</v>
      </c>
      <c r="G214" s="3" t="s">
        <v>12</v>
      </c>
      <c r="H214" s="3" t="s">
        <v>13</v>
      </c>
      <c r="I214" s="3" t="s">
        <v>14</v>
      </c>
      <c r="J214" s="3" t="s">
        <v>28</v>
      </c>
    </row>
    <row r="215" spans="1:10" x14ac:dyDescent="0.2">
      <c r="B215" s="3">
        <v>0</v>
      </c>
      <c r="C215" s="3">
        <v>4921421.0614999998</v>
      </c>
      <c r="D215" s="3">
        <v>2956506.5118</v>
      </c>
      <c r="E215" s="3">
        <v>1435724.5903</v>
      </c>
      <c r="F215" s="3">
        <v>576057.73490000004</v>
      </c>
      <c r="G215" s="3">
        <v>389330.42190000002</v>
      </c>
      <c r="H215" s="3">
        <v>386467.99930000002</v>
      </c>
      <c r="I215" s="3">
        <v>272459.26730000001</v>
      </c>
      <c r="J215" s="3">
        <f>SUM(C215:I215)</f>
        <v>10937967.586999999</v>
      </c>
    </row>
    <row r="216" spans="1:10" x14ac:dyDescent="0.2">
      <c r="B216" s="3">
        <v>1</v>
      </c>
      <c r="C216" s="3">
        <v>667727.77370000002</v>
      </c>
      <c r="D216" s="3">
        <v>1734271.1407999999</v>
      </c>
      <c r="E216" s="3">
        <v>1426249.5253000001</v>
      </c>
      <c r="F216" s="3">
        <v>1097862.8091</v>
      </c>
      <c r="G216" s="3">
        <v>833304.57460000005</v>
      </c>
      <c r="H216" s="3">
        <v>647133.50569999998</v>
      </c>
      <c r="I216" s="3">
        <v>373665.75670000003</v>
      </c>
      <c r="J216" s="3">
        <f t="shared" ref="J216:J231" si="19">SUM(C216:I216)</f>
        <v>6780215.0858999994</v>
      </c>
    </row>
    <row r="217" spans="1:10" x14ac:dyDescent="0.2">
      <c r="B217" s="3">
        <v>2</v>
      </c>
      <c r="C217" s="3">
        <v>59488.296999999999</v>
      </c>
      <c r="D217" s="3">
        <v>592632.1888</v>
      </c>
      <c r="E217" s="3">
        <v>905780.10829999996</v>
      </c>
      <c r="F217" s="3">
        <v>1264286.2727999999</v>
      </c>
      <c r="G217" s="3">
        <v>1154519.1432</v>
      </c>
      <c r="H217" s="3">
        <v>993535.99269999994</v>
      </c>
      <c r="I217" s="3">
        <v>578219.73849999998</v>
      </c>
      <c r="J217" s="3">
        <f t="shared" si="19"/>
        <v>5548461.7412999999</v>
      </c>
    </row>
    <row r="218" spans="1:10" x14ac:dyDescent="0.2">
      <c r="B218" s="3">
        <v>3</v>
      </c>
      <c r="C218" s="3">
        <v>0</v>
      </c>
      <c r="D218" s="3">
        <v>159127.95319999999</v>
      </c>
      <c r="E218" s="3">
        <v>243720.36979999999</v>
      </c>
      <c r="F218" s="3">
        <v>483695.58840000001</v>
      </c>
      <c r="G218" s="3">
        <v>510762.7463</v>
      </c>
      <c r="H218" s="3">
        <v>565896.29460000002</v>
      </c>
      <c r="I218" s="3">
        <v>341399.32650000002</v>
      </c>
      <c r="J218" s="3">
        <f t="shared" si="19"/>
        <v>2304602.2788</v>
      </c>
    </row>
    <row r="219" spans="1:10" x14ac:dyDescent="0.2">
      <c r="B219" s="3">
        <v>4</v>
      </c>
      <c r="C219" s="3">
        <v>0</v>
      </c>
      <c r="D219" s="3">
        <v>17394.742399999999</v>
      </c>
      <c r="E219" s="3">
        <v>53143.216200000003</v>
      </c>
      <c r="F219" s="3">
        <v>76318.239100000006</v>
      </c>
      <c r="G219" s="3">
        <v>152719.85550000001</v>
      </c>
      <c r="H219" s="3">
        <v>143832.8316</v>
      </c>
      <c r="I219" s="3">
        <v>161491.3953</v>
      </c>
      <c r="J219" s="3">
        <f t="shared" si="19"/>
        <v>604900.28009999997</v>
      </c>
    </row>
    <row r="220" spans="1:10" x14ac:dyDescent="0.2">
      <c r="B220" s="3">
        <v>5</v>
      </c>
      <c r="C220" s="3">
        <v>0</v>
      </c>
      <c r="D220" s="3">
        <v>0</v>
      </c>
      <c r="E220" s="3">
        <v>14842.7513</v>
      </c>
      <c r="F220" s="3">
        <v>35881.055</v>
      </c>
      <c r="G220" s="3">
        <v>36170.383300000001</v>
      </c>
      <c r="H220" s="3">
        <v>41341.021500000003</v>
      </c>
      <c r="I220" s="3">
        <v>59601.561399999999</v>
      </c>
      <c r="J220" s="3">
        <f t="shared" si="19"/>
        <v>187836.77249999999</v>
      </c>
    </row>
    <row r="221" spans="1:10" x14ac:dyDescent="0.2">
      <c r="B221" s="3">
        <v>6</v>
      </c>
      <c r="C221" s="3">
        <v>0</v>
      </c>
      <c r="D221" s="3">
        <v>0</v>
      </c>
      <c r="E221" s="3">
        <v>1411.1097</v>
      </c>
      <c r="F221" s="3">
        <v>7266.6782999999996</v>
      </c>
      <c r="G221" s="3">
        <v>7900.6902</v>
      </c>
      <c r="H221" s="3">
        <v>9406.7016000000003</v>
      </c>
      <c r="I221" s="3">
        <v>11559.003000000001</v>
      </c>
      <c r="J221" s="3">
        <f t="shared" si="19"/>
        <v>37544.182800000002</v>
      </c>
    </row>
    <row r="222" spans="1:10" x14ac:dyDescent="0.2">
      <c r="B222" s="3">
        <v>7</v>
      </c>
      <c r="C222" s="3">
        <v>0</v>
      </c>
      <c r="D222" s="3">
        <v>0</v>
      </c>
      <c r="E222" s="3">
        <v>0</v>
      </c>
      <c r="F222" s="3">
        <v>4907.8077999999996</v>
      </c>
      <c r="G222" s="3">
        <v>2215.5205999999998</v>
      </c>
      <c r="H222" s="3">
        <v>33135.204599999997</v>
      </c>
      <c r="I222" s="3">
        <v>12823.9486</v>
      </c>
      <c r="J222" s="3">
        <f t="shared" si="19"/>
        <v>53082.481599999999</v>
      </c>
    </row>
    <row r="223" spans="1:10" x14ac:dyDescent="0.2">
      <c r="B223" s="3">
        <v>8</v>
      </c>
      <c r="C223" s="3">
        <v>0</v>
      </c>
      <c r="D223" s="3">
        <v>0</v>
      </c>
      <c r="E223" s="3">
        <v>0</v>
      </c>
      <c r="F223" s="3">
        <v>0</v>
      </c>
      <c r="G223" s="3">
        <v>3550.2431000000001</v>
      </c>
      <c r="H223" s="3">
        <v>1118.682</v>
      </c>
      <c r="I223" s="3">
        <v>0</v>
      </c>
      <c r="J223" s="3">
        <f t="shared" si="19"/>
        <v>4668.9251000000004</v>
      </c>
    </row>
    <row r="224" spans="1:10" x14ac:dyDescent="0.2">
      <c r="B224" s="3">
        <v>9</v>
      </c>
      <c r="C224" s="3">
        <v>0</v>
      </c>
      <c r="D224" s="3">
        <v>0</v>
      </c>
      <c r="E224" s="3">
        <v>0</v>
      </c>
      <c r="F224" s="3">
        <v>0</v>
      </c>
      <c r="G224" s="3">
        <v>530.88980000000004</v>
      </c>
      <c r="H224" s="3">
        <v>7377.2563</v>
      </c>
      <c r="I224" s="3">
        <v>692.75879999999995</v>
      </c>
      <c r="J224" s="3">
        <f t="shared" si="19"/>
        <v>8600.9048999999995</v>
      </c>
    </row>
    <row r="225" spans="1:10" x14ac:dyDescent="0.2">
      <c r="B225" s="3">
        <v>10</v>
      </c>
      <c r="C225" s="3">
        <v>0</v>
      </c>
      <c r="D225" s="3">
        <v>0</v>
      </c>
      <c r="E225" s="3">
        <v>0</v>
      </c>
      <c r="F225" s="3">
        <v>0</v>
      </c>
      <c r="G225" s="3">
        <v>451.56380000000001</v>
      </c>
      <c r="H225" s="3">
        <v>0</v>
      </c>
      <c r="I225" s="3">
        <v>1309.0923</v>
      </c>
      <c r="J225" s="3">
        <f t="shared" si="19"/>
        <v>1760.6561000000002</v>
      </c>
    </row>
    <row r="226" spans="1:10" x14ac:dyDescent="0.2">
      <c r="B226" s="3">
        <v>11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f t="shared" si="19"/>
        <v>0</v>
      </c>
    </row>
    <row r="227" spans="1:10" x14ac:dyDescent="0.2">
      <c r="B227" s="3">
        <v>12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f t="shared" si="19"/>
        <v>0</v>
      </c>
    </row>
    <row r="228" spans="1:10" x14ac:dyDescent="0.2">
      <c r="B228" s="3">
        <v>13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f t="shared" si="19"/>
        <v>0</v>
      </c>
    </row>
    <row r="229" spans="1:10" x14ac:dyDescent="0.2">
      <c r="B229" s="3">
        <v>14</v>
      </c>
      <c r="C229" s="3">
        <v>0</v>
      </c>
      <c r="D229" s="3">
        <v>0</v>
      </c>
      <c r="E229" s="3">
        <v>0</v>
      </c>
      <c r="F229" s="3">
        <v>0</v>
      </c>
      <c r="G229" s="3">
        <v>0</v>
      </c>
      <c r="H229" s="3">
        <v>0</v>
      </c>
      <c r="I229" s="3">
        <v>0</v>
      </c>
      <c r="J229" s="3">
        <f t="shared" si="19"/>
        <v>0</v>
      </c>
    </row>
    <row r="230" spans="1:10" x14ac:dyDescent="0.2">
      <c r="B230" s="3">
        <v>15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f t="shared" si="19"/>
        <v>0</v>
      </c>
    </row>
    <row r="231" spans="1:10" x14ac:dyDescent="0.2">
      <c r="B231" s="3">
        <v>16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f t="shared" si="19"/>
        <v>0</v>
      </c>
    </row>
    <row r="232" spans="1:10" x14ac:dyDescent="0.2">
      <c r="C232" s="3">
        <f t="shared" ref="C232:I232" si="20">SUMPRODUCT($B$215:$B$231,C215:C231)</f>
        <v>786704.36770000006</v>
      </c>
      <c r="D232" s="3">
        <f t="shared" si="20"/>
        <v>3466498.3476</v>
      </c>
      <c r="E232" s="3">
        <f t="shared" si="20"/>
        <v>4264224.1308000004</v>
      </c>
      <c r="F232" s="3">
        <f t="shared" si="20"/>
        <v>5640155.0757000009</v>
      </c>
      <c r="G232" s="3">
        <f t="shared" si="20"/>
        <v>5566970.8148000007</v>
      </c>
      <c r="H232" s="3">
        <f t="shared" si="20"/>
        <v>5477662.213299999</v>
      </c>
      <c r="I232" s="3">
        <f t="shared" si="20"/>
        <v>3676724.0118</v>
      </c>
      <c r="J232" s="3">
        <f>SUMPRODUCT($B$80:$B$96,J215:J231)</f>
        <v>28878938.9617</v>
      </c>
    </row>
    <row r="233" spans="1:10" x14ac:dyDescent="0.2">
      <c r="B233" t="s">
        <v>20</v>
      </c>
      <c r="C233" t="s">
        <v>3</v>
      </c>
      <c r="D233" t="s">
        <v>22</v>
      </c>
    </row>
    <row r="235" spans="1:10" x14ac:dyDescent="0.2">
      <c r="B235" s="3" t="s">
        <v>7</v>
      </c>
      <c r="C235" s="3"/>
      <c r="D235" s="3"/>
      <c r="E235" s="3"/>
      <c r="F235" s="3"/>
      <c r="G235" s="3"/>
      <c r="H235" s="3"/>
      <c r="I235" s="3"/>
    </row>
    <row r="236" spans="1:10" x14ac:dyDescent="0.2">
      <c r="A236" t="s">
        <v>35</v>
      </c>
      <c r="C236" s="3" t="s">
        <v>8</v>
      </c>
      <c r="D236" s="3" t="s">
        <v>9</v>
      </c>
      <c r="E236" s="3" t="s">
        <v>10</v>
      </c>
      <c r="F236" s="3" t="s">
        <v>11</v>
      </c>
      <c r="G236" s="3" t="s">
        <v>12</v>
      </c>
      <c r="H236" s="3" t="s">
        <v>13</v>
      </c>
      <c r="I236" s="3" t="s">
        <v>14</v>
      </c>
      <c r="J236" s="3" t="s">
        <v>28</v>
      </c>
    </row>
    <row r="237" spans="1:10" x14ac:dyDescent="0.2">
      <c r="B237" s="3">
        <v>0</v>
      </c>
      <c r="C237" s="3">
        <v>240958.31450000001</v>
      </c>
      <c r="D237" s="3">
        <v>1039440.6271</v>
      </c>
      <c r="E237" s="3">
        <v>867048.17139999999</v>
      </c>
      <c r="F237" s="3">
        <v>494371.02500000002</v>
      </c>
      <c r="G237" s="3">
        <v>407025.4167</v>
      </c>
      <c r="H237" s="3">
        <v>151491.30919999999</v>
      </c>
      <c r="I237" s="3">
        <v>208812.5338</v>
      </c>
      <c r="J237" s="3">
        <f>SUM(C237:I237)</f>
        <v>3409147.3976999996</v>
      </c>
    </row>
    <row r="238" spans="1:10" x14ac:dyDescent="0.2">
      <c r="B238" s="3">
        <v>1</v>
      </c>
      <c r="C238" s="3">
        <v>5166.7520999999997</v>
      </c>
      <c r="D238" s="3">
        <v>61472.322</v>
      </c>
      <c r="E238" s="3">
        <v>306282.51459999999</v>
      </c>
      <c r="F238" s="3">
        <v>324377.7819</v>
      </c>
      <c r="G238" s="3">
        <v>351722.70520000003</v>
      </c>
      <c r="H238" s="3">
        <v>196521.59340000001</v>
      </c>
      <c r="I238" s="3">
        <v>150778.6875</v>
      </c>
      <c r="J238" s="3">
        <f t="shared" ref="J238:J253" si="21">SUM(C238:I238)</f>
        <v>1396322.3566999999</v>
      </c>
    </row>
    <row r="239" spans="1:10" x14ac:dyDescent="0.2">
      <c r="B239" s="3">
        <v>2</v>
      </c>
      <c r="C239" s="3">
        <v>0</v>
      </c>
      <c r="D239" s="3">
        <v>298.25450000000001</v>
      </c>
      <c r="E239" s="3">
        <v>37034.567900000002</v>
      </c>
      <c r="F239" s="3">
        <v>229776.95600000001</v>
      </c>
      <c r="G239" s="3">
        <v>280004.82250000001</v>
      </c>
      <c r="H239" s="3">
        <v>455201.88669999997</v>
      </c>
      <c r="I239" s="3">
        <v>356600.20630000002</v>
      </c>
      <c r="J239" s="3">
        <f t="shared" si="21"/>
        <v>1358916.6938999998</v>
      </c>
    </row>
    <row r="240" spans="1:10" x14ac:dyDescent="0.2">
      <c r="B240" s="3">
        <v>3</v>
      </c>
      <c r="C240" s="3">
        <v>0</v>
      </c>
      <c r="D240" s="3">
        <v>0</v>
      </c>
      <c r="E240" s="3">
        <v>24373.114000000001</v>
      </c>
      <c r="F240" s="3">
        <v>48663.182500000003</v>
      </c>
      <c r="G240" s="3">
        <v>55031.285100000001</v>
      </c>
      <c r="H240" s="3">
        <v>124246.1597</v>
      </c>
      <c r="I240" s="3">
        <v>99069.575599999996</v>
      </c>
      <c r="J240" s="3">
        <f t="shared" si="21"/>
        <v>351383.31689999998</v>
      </c>
    </row>
    <row r="241" spans="1:10" x14ac:dyDescent="0.2">
      <c r="B241" s="3">
        <v>4</v>
      </c>
      <c r="C241" s="3">
        <v>0</v>
      </c>
      <c r="D241" s="3">
        <v>0</v>
      </c>
      <c r="E241" s="3">
        <v>0</v>
      </c>
      <c r="F241" s="3">
        <v>2799.9108000000001</v>
      </c>
      <c r="G241" s="3">
        <v>13468.788500000001</v>
      </c>
      <c r="H241" s="3">
        <v>8677.0653999999995</v>
      </c>
      <c r="I241" s="3">
        <v>4979.4850999999999</v>
      </c>
      <c r="J241" s="3">
        <f t="shared" si="21"/>
        <v>29925.249799999998</v>
      </c>
    </row>
    <row r="242" spans="1:10" x14ac:dyDescent="0.2">
      <c r="B242" s="3">
        <v>5</v>
      </c>
      <c r="C242" s="3">
        <v>0</v>
      </c>
      <c r="D242" s="3">
        <v>0</v>
      </c>
      <c r="E242" s="3">
        <v>0</v>
      </c>
      <c r="F242" s="3">
        <v>0</v>
      </c>
      <c r="G242" s="3">
        <v>3408.8562000000002</v>
      </c>
      <c r="H242" s="3">
        <v>154.8973</v>
      </c>
      <c r="I242" s="3">
        <v>616.00599999999997</v>
      </c>
      <c r="J242" s="3">
        <f t="shared" si="21"/>
        <v>4179.7595000000001</v>
      </c>
    </row>
    <row r="243" spans="1:10" x14ac:dyDescent="0.2">
      <c r="B243" s="3">
        <v>6</v>
      </c>
      <c r="C243" s="3">
        <v>0</v>
      </c>
      <c r="D243" s="3">
        <v>0</v>
      </c>
      <c r="E243" s="3">
        <v>0</v>
      </c>
      <c r="F243" s="3">
        <v>0</v>
      </c>
      <c r="G243" s="3">
        <v>0</v>
      </c>
      <c r="H243" s="3">
        <v>0</v>
      </c>
      <c r="I243" s="3">
        <v>502.10070000000002</v>
      </c>
      <c r="J243" s="3">
        <f t="shared" si="21"/>
        <v>502.10070000000002</v>
      </c>
    </row>
    <row r="244" spans="1:10" x14ac:dyDescent="0.2">
      <c r="B244" s="3">
        <v>7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f t="shared" si="21"/>
        <v>0</v>
      </c>
    </row>
    <row r="245" spans="1:10" x14ac:dyDescent="0.2">
      <c r="B245" s="3">
        <v>8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0</v>
      </c>
      <c r="I245" s="3">
        <v>0</v>
      </c>
      <c r="J245" s="3">
        <f t="shared" si="21"/>
        <v>0</v>
      </c>
    </row>
    <row r="246" spans="1:10" x14ac:dyDescent="0.2">
      <c r="B246" s="3">
        <v>9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0</v>
      </c>
      <c r="I246" s="3">
        <v>0</v>
      </c>
      <c r="J246" s="3">
        <f t="shared" si="21"/>
        <v>0</v>
      </c>
    </row>
    <row r="247" spans="1:10" x14ac:dyDescent="0.2">
      <c r="B247" s="3">
        <v>10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0</v>
      </c>
      <c r="I247" s="3">
        <v>0</v>
      </c>
      <c r="J247" s="3">
        <f t="shared" si="21"/>
        <v>0</v>
      </c>
    </row>
    <row r="248" spans="1:10" x14ac:dyDescent="0.2">
      <c r="B248" s="3">
        <v>11</v>
      </c>
      <c r="C248" s="3">
        <v>0</v>
      </c>
      <c r="D248" s="3">
        <v>0</v>
      </c>
      <c r="E248" s="3">
        <v>0</v>
      </c>
      <c r="F248" s="3">
        <v>0</v>
      </c>
      <c r="G248" s="3">
        <v>0</v>
      </c>
      <c r="H248" s="3">
        <v>0</v>
      </c>
      <c r="I248" s="3">
        <v>0</v>
      </c>
      <c r="J248" s="3">
        <f t="shared" si="21"/>
        <v>0</v>
      </c>
    </row>
    <row r="249" spans="1:10" x14ac:dyDescent="0.2">
      <c r="B249" s="3">
        <v>12</v>
      </c>
      <c r="C249" s="3">
        <v>0</v>
      </c>
      <c r="D249" s="3">
        <v>0</v>
      </c>
      <c r="E249" s="3">
        <v>0</v>
      </c>
      <c r="F249" s="3">
        <v>0</v>
      </c>
      <c r="G249" s="3">
        <v>0</v>
      </c>
      <c r="H249" s="3">
        <v>0</v>
      </c>
      <c r="I249" s="3">
        <v>0</v>
      </c>
      <c r="J249" s="3">
        <f t="shared" si="21"/>
        <v>0</v>
      </c>
    </row>
    <row r="250" spans="1:10" x14ac:dyDescent="0.2">
      <c r="B250" s="3">
        <v>13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f t="shared" si="21"/>
        <v>0</v>
      </c>
    </row>
    <row r="251" spans="1:10" x14ac:dyDescent="0.2">
      <c r="B251" s="3">
        <v>14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f t="shared" si="21"/>
        <v>0</v>
      </c>
    </row>
    <row r="252" spans="1:10" x14ac:dyDescent="0.2">
      <c r="B252" s="3">
        <v>15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f t="shared" si="21"/>
        <v>0</v>
      </c>
    </row>
    <row r="253" spans="1:10" x14ac:dyDescent="0.2">
      <c r="B253" s="3">
        <v>16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f t="shared" si="21"/>
        <v>0</v>
      </c>
    </row>
    <row r="254" spans="1:10" x14ac:dyDescent="0.2">
      <c r="C254" s="3">
        <f t="shared" ref="C254:I254" si="22">SUMPRODUCT($B$237:$B$253,C237:C253)</f>
        <v>5166.7520999999997</v>
      </c>
      <c r="D254" s="3">
        <f t="shared" si="22"/>
        <v>62068.830999999998</v>
      </c>
      <c r="E254" s="3">
        <f t="shared" si="22"/>
        <v>453470.99239999999</v>
      </c>
      <c r="F254" s="3">
        <f t="shared" si="22"/>
        <v>941120.88460000011</v>
      </c>
      <c r="G254" s="3">
        <f t="shared" si="22"/>
        <v>1147745.6405</v>
      </c>
      <c r="H254" s="3">
        <f t="shared" si="22"/>
        <v>1515146.5940000003</v>
      </c>
      <c r="I254" s="3">
        <f t="shared" si="22"/>
        <v>1187198.4014999999</v>
      </c>
      <c r="J254" s="3">
        <f>SUMPRODUCT($B$80:$B$96,J237:J253)</f>
        <v>5311918.0961000007</v>
      </c>
    </row>
    <row r="255" spans="1:10" s="10" customFormat="1" x14ac:dyDescent="0.2">
      <c r="A255" s="10" t="s">
        <v>0</v>
      </c>
    </row>
    <row r="256" spans="1:10" x14ac:dyDescent="0.2">
      <c r="A256" t="s">
        <v>0</v>
      </c>
      <c r="B256" t="s">
        <v>36</v>
      </c>
      <c r="C256" t="s">
        <v>44</v>
      </c>
    </row>
    <row r="257" spans="1:10" x14ac:dyDescent="0.2">
      <c r="A257" t="s">
        <v>0</v>
      </c>
      <c r="B257" t="s">
        <v>45</v>
      </c>
      <c r="C257" t="s">
        <v>2</v>
      </c>
      <c r="D257" t="s">
        <v>3</v>
      </c>
      <c r="E257" t="s">
        <v>4</v>
      </c>
    </row>
    <row r="258" spans="1:10" x14ac:dyDescent="0.2">
      <c r="B258" t="s">
        <v>24</v>
      </c>
      <c r="C258" t="s">
        <v>3</v>
      </c>
      <c r="D258" t="s">
        <v>25</v>
      </c>
    </row>
    <row r="260" spans="1:10" x14ac:dyDescent="0.2">
      <c r="B260" s="3" t="s">
        <v>7</v>
      </c>
      <c r="C260" s="3"/>
      <c r="D260" s="3"/>
      <c r="E260" s="3"/>
      <c r="F260" s="3"/>
      <c r="G260" s="3"/>
      <c r="H260" s="3"/>
      <c r="I260" s="3"/>
    </row>
    <row r="261" spans="1:10" x14ac:dyDescent="0.2">
      <c r="A261" t="s">
        <v>35</v>
      </c>
      <c r="C261" s="3" t="s">
        <v>8</v>
      </c>
      <c r="D261" s="3" t="s">
        <v>9</v>
      </c>
      <c r="E261" s="3" t="s">
        <v>10</v>
      </c>
      <c r="F261" s="3" t="s">
        <v>11</v>
      </c>
      <c r="G261" s="3" t="s">
        <v>12</v>
      </c>
      <c r="H261" s="3" t="s">
        <v>13</v>
      </c>
      <c r="I261" s="3" t="s">
        <v>14</v>
      </c>
      <c r="J261" s="3" t="s">
        <v>28</v>
      </c>
    </row>
    <row r="262" spans="1:10" x14ac:dyDescent="0.2">
      <c r="B262" s="3">
        <v>0</v>
      </c>
      <c r="C262" s="3">
        <v>2649831.1609999998</v>
      </c>
      <c r="D262" s="3">
        <v>1989648.9693</v>
      </c>
      <c r="E262" s="3">
        <v>1183679.2394000001</v>
      </c>
      <c r="F262" s="3">
        <v>620897.49589999998</v>
      </c>
      <c r="G262" s="3">
        <v>508292.72289999999</v>
      </c>
      <c r="H262" s="3">
        <v>270873.78710000002</v>
      </c>
      <c r="I262" s="3">
        <v>314003.42859999998</v>
      </c>
      <c r="J262" s="3">
        <f>SUM(C262:I262)</f>
        <v>7537226.804200002</v>
      </c>
    </row>
    <row r="263" spans="1:10" x14ac:dyDescent="0.2">
      <c r="B263" s="3">
        <v>1</v>
      </c>
      <c r="C263" s="3">
        <v>291120.0295</v>
      </c>
      <c r="D263" s="3">
        <v>891512.93980000005</v>
      </c>
      <c r="E263" s="3">
        <v>950802.88379999995</v>
      </c>
      <c r="F263" s="3">
        <v>777514.6078</v>
      </c>
      <c r="G263" s="3">
        <v>713811.60629999998</v>
      </c>
      <c r="H263" s="3">
        <v>698488.25630000001</v>
      </c>
      <c r="I263" s="3">
        <v>433708.25890000002</v>
      </c>
      <c r="J263" s="3">
        <f t="shared" ref="J263:J278" si="23">SUM(C263:I263)</f>
        <v>4756958.5823999997</v>
      </c>
    </row>
    <row r="264" spans="1:10" x14ac:dyDescent="0.2">
      <c r="B264" s="3">
        <v>2</v>
      </c>
      <c r="C264" s="3">
        <v>33410.390099999997</v>
      </c>
      <c r="D264" s="3">
        <v>336896.81910000002</v>
      </c>
      <c r="E264" s="3">
        <v>518669.1188</v>
      </c>
      <c r="F264" s="3">
        <v>887104.16540000006</v>
      </c>
      <c r="G264" s="3">
        <v>1079447.8077</v>
      </c>
      <c r="H264" s="3">
        <v>1176424.5152</v>
      </c>
      <c r="I264" s="3">
        <v>986692.66130000004</v>
      </c>
      <c r="J264" s="3">
        <f t="shared" si="23"/>
        <v>5018645.4775999999</v>
      </c>
    </row>
    <row r="265" spans="1:10" x14ac:dyDescent="0.2">
      <c r="B265" s="3">
        <v>3</v>
      </c>
      <c r="C265" s="3">
        <v>3893.3914</v>
      </c>
      <c r="D265" s="3">
        <v>110808.70570000001</v>
      </c>
      <c r="E265" s="3">
        <v>275227.28840000002</v>
      </c>
      <c r="F265" s="3">
        <v>435495.82500000001</v>
      </c>
      <c r="G265" s="3">
        <v>407377.11839999998</v>
      </c>
      <c r="H265" s="3">
        <v>618996.45440000005</v>
      </c>
      <c r="I265" s="3">
        <v>484099.57789999997</v>
      </c>
      <c r="J265" s="3">
        <f t="shared" si="23"/>
        <v>2335898.3612000002</v>
      </c>
    </row>
    <row r="266" spans="1:10" x14ac:dyDescent="0.2">
      <c r="B266" s="3">
        <v>4</v>
      </c>
      <c r="C266" s="3">
        <v>0</v>
      </c>
      <c r="D266" s="3">
        <v>14930.803099999999</v>
      </c>
      <c r="E266" s="3">
        <v>56325.823400000001</v>
      </c>
      <c r="F266" s="3">
        <v>77855.835999999996</v>
      </c>
      <c r="G266" s="3">
        <v>139546.742</v>
      </c>
      <c r="H266" s="3">
        <v>165951.44140000001</v>
      </c>
      <c r="I266" s="3">
        <v>252226.1153</v>
      </c>
      <c r="J266" s="3">
        <f t="shared" si="23"/>
        <v>706836.76120000007</v>
      </c>
    </row>
    <row r="267" spans="1:10" x14ac:dyDescent="0.2">
      <c r="B267" s="3">
        <v>5</v>
      </c>
      <c r="C267" s="3">
        <v>0</v>
      </c>
      <c r="D267" s="3">
        <v>0</v>
      </c>
      <c r="E267" s="3">
        <v>32237.875700000001</v>
      </c>
      <c r="F267" s="3">
        <v>43520.415200000003</v>
      </c>
      <c r="G267" s="3">
        <v>29602.1122</v>
      </c>
      <c r="H267" s="3">
        <v>67422.050099999993</v>
      </c>
      <c r="I267" s="3">
        <v>53306.5501</v>
      </c>
      <c r="J267" s="3">
        <f t="shared" si="23"/>
        <v>226089.00329999998</v>
      </c>
    </row>
    <row r="268" spans="1:10" x14ac:dyDescent="0.2">
      <c r="B268" s="3">
        <v>6</v>
      </c>
      <c r="C268" s="3">
        <v>0</v>
      </c>
      <c r="D268" s="3">
        <v>0</v>
      </c>
      <c r="E268" s="3">
        <v>2758.5028000000002</v>
      </c>
      <c r="F268" s="3">
        <v>12169.3968</v>
      </c>
      <c r="G268" s="3">
        <v>17911.686699999998</v>
      </c>
      <c r="H268" s="3">
        <v>43646.281499999997</v>
      </c>
      <c r="I268" s="3">
        <v>74519.912500000006</v>
      </c>
      <c r="J268" s="3">
        <f t="shared" si="23"/>
        <v>151005.78029999998</v>
      </c>
    </row>
    <row r="269" spans="1:10" x14ac:dyDescent="0.2">
      <c r="B269" s="3">
        <v>7</v>
      </c>
      <c r="C269" s="3">
        <v>0</v>
      </c>
      <c r="D269" s="3">
        <v>4354.6495999999997</v>
      </c>
      <c r="E269" s="3">
        <v>0</v>
      </c>
      <c r="F269" s="3">
        <v>7965.1125000000002</v>
      </c>
      <c r="G269" s="3">
        <v>1601.9949999999999</v>
      </c>
      <c r="H269" s="3">
        <v>13157.022999999999</v>
      </c>
      <c r="I269" s="3">
        <v>31450.105200000002</v>
      </c>
      <c r="J269" s="3">
        <f t="shared" si="23"/>
        <v>58528.885299999994</v>
      </c>
    </row>
    <row r="270" spans="1:10" x14ac:dyDescent="0.2">
      <c r="B270" s="3">
        <v>8</v>
      </c>
      <c r="C270" s="3">
        <v>0</v>
      </c>
      <c r="D270" s="3">
        <v>0</v>
      </c>
      <c r="E270" s="3">
        <v>0</v>
      </c>
      <c r="F270" s="3">
        <v>1628.204</v>
      </c>
      <c r="G270" s="3">
        <v>0</v>
      </c>
      <c r="H270" s="3">
        <v>11010.513000000001</v>
      </c>
      <c r="I270" s="3">
        <v>2468.9967000000001</v>
      </c>
      <c r="J270" s="3">
        <f t="shared" si="23"/>
        <v>15107.7137</v>
      </c>
    </row>
    <row r="271" spans="1:10" x14ac:dyDescent="0.2">
      <c r="B271" s="3">
        <v>9</v>
      </c>
      <c r="C271" s="3">
        <v>0</v>
      </c>
      <c r="D271" s="3">
        <v>0</v>
      </c>
      <c r="E271" s="3">
        <v>0</v>
      </c>
      <c r="F271" s="3">
        <v>110.3994</v>
      </c>
      <c r="G271" s="3">
        <v>3604.9949000000001</v>
      </c>
      <c r="H271" s="3">
        <v>2722.7197999999999</v>
      </c>
      <c r="I271" s="3">
        <v>16716.309600000001</v>
      </c>
      <c r="J271" s="3">
        <f t="shared" si="23"/>
        <v>23154.423699999999</v>
      </c>
    </row>
    <row r="272" spans="1:10" x14ac:dyDescent="0.2">
      <c r="B272" s="3">
        <v>10</v>
      </c>
      <c r="C272" s="3">
        <v>0</v>
      </c>
      <c r="D272" s="3">
        <v>0</v>
      </c>
      <c r="E272" s="3">
        <v>0</v>
      </c>
      <c r="F272" s="3">
        <v>254.11320000000001</v>
      </c>
      <c r="G272" s="3">
        <v>0</v>
      </c>
      <c r="H272" s="3">
        <v>3127.9861999999998</v>
      </c>
      <c r="I272" s="3">
        <v>27643.198799999998</v>
      </c>
      <c r="J272" s="3">
        <f t="shared" si="23"/>
        <v>31025.298199999997</v>
      </c>
    </row>
    <row r="273" spans="1:10" x14ac:dyDescent="0.2">
      <c r="B273" s="3">
        <v>11</v>
      </c>
      <c r="C273" s="3">
        <v>0</v>
      </c>
      <c r="D273" s="3">
        <v>0</v>
      </c>
      <c r="E273" s="3">
        <v>0</v>
      </c>
      <c r="F273" s="3">
        <v>0</v>
      </c>
      <c r="G273" s="3">
        <v>1990.5498</v>
      </c>
      <c r="H273" s="3">
        <v>2081.8562999999999</v>
      </c>
      <c r="I273" s="3">
        <v>4009.1876000000002</v>
      </c>
      <c r="J273" s="3">
        <f t="shared" si="23"/>
        <v>8081.5937000000004</v>
      </c>
    </row>
    <row r="274" spans="1:10" x14ac:dyDescent="0.2">
      <c r="B274" s="3">
        <v>12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0</v>
      </c>
      <c r="I274" s="3">
        <v>0</v>
      </c>
      <c r="J274" s="3">
        <f t="shared" si="23"/>
        <v>0</v>
      </c>
    </row>
    <row r="275" spans="1:10" x14ac:dyDescent="0.2">
      <c r="B275" s="3">
        <v>13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3675.6014</v>
      </c>
      <c r="J275" s="3">
        <f t="shared" si="23"/>
        <v>3675.6014</v>
      </c>
    </row>
    <row r="276" spans="1:10" x14ac:dyDescent="0.2">
      <c r="B276" s="3">
        <v>14</v>
      </c>
      <c r="C276" s="3">
        <v>0</v>
      </c>
      <c r="D276" s="3">
        <v>0</v>
      </c>
      <c r="E276" s="3">
        <v>0</v>
      </c>
      <c r="F276" s="3">
        <v>0</v>
      </c>
      <c r="G276" s="3">
        <v>0</v>
      </c>
      <c r="H276" s="3">
        <v>0</v>
      </c>
      <c r="I276" s="3">
        <v>1681.789</v>
      </c>
      <c r="J276" s="3">
        <f t="shared" si="23"/>
        <v>1681.789</v>
      </c>
    </row>
    <row r="277" spans="1:10" x14ac:dyDescent="0.2">
      <c r="B277" s="3">
        <v>15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f t="shared" si="23"/>
        <v>0</v>
      </c>
    </row>
    <row r="278" spans="1:10" x14ac:dyDescent="0.2">
      <c r="B278" s="3">
        <v>16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f t="shared" si="23"/>
        <v>0</v>
      </c>
    </row>
    <row r="279" spans="1:10" x14ac:dyDescent="0.2">
      <c r="C279" s="3">
        <f t="shared" ref="C279:I279" si="24">SUMPRODUCT($B$262:$B$278,C262:C278)</f>
        <v>369620.98389999999</v>
      </c>
      <c r="D279" s="3">
        <f t="shared" si="24"/>
        <v>1987938.4547000001</v>
      </c>
      <c r="E279" s="3">
        <f t="shared" si="24"/>
        <v>3216866.6755000004</v>
      </c>
      <c r="F279" s="3">
        <f t="shared" si="24"/>
        <v>4532568.3605000013</v>
      </c>
      <c r="G279" s="3">
        <f t="shared" si="24"/>
        <v>4974061.192999999</v>
      </c>
      <c r="H279" s="3">
        <f t="shared" si="24"/>
        <v>6429988.3795000007</v>
      </c>
      <c r="I279" s="3">
        <f t="shared" si="24"/>
        <v>6364159.4140999988</v>
      </c>
      <c r="J279" s="3">
        <f>SUMPRODUCT($B$80:$B$96,J262:J278)</f>
        <v>27875203.461200003</v>
      </c>
    </row>
    <row r="280" spans="1:10" x14ac:dyDescent="0.2">
      <c r="B280" t="s">
        <v>24</v>
      </c>
      <c r="C280" t="s">
        <v>3</v>
      </c>
      <c r="D280" t="s">
        <v>26</v>
      </c>
    </row>
    <row r="282" spans="1:10" x14ac:dyDescent="0.2">
      <c r="B282" s="3" t="s">
        <v>7</v>
      </c>
      <c r="C282" s="3"/>
      <c r="D282" s="3"/>
      <c r="E282" s="3"/>
      <c r="F282" s="3"/>
      <c r="G282" s="3"/>
      <c r="H282" s="3"/>
      <c r="I282" s="3"/>
    </row>
    <row r="283" spans="1:10" x14ac:dyDescent="0.2">
      <c r="A283" t="s">
        <v>35</v>
      </c>
      <c r="C283" s="3" t="s">
        <v>8</v>
      </c>
      <c r="D283" s="3" t="s">
        <v>9</v>
      </c>
      <c r="E283" s="3" t="s">
        <v>10</v>
      </c>
      <c r="F283" s="3" t="s">
        <v>11</v>
      </c>
      <c r="G283" s="3" t="s">
        <v>12</v>
      </c>
      <c r="H283" s="3" t="s">
        <v>13</v>
      </c>
      <c r="I283" s="3" t="s">
        <v>14</v>
      </c>
      <c r="J283" s="3" t="s">
        <v>28</v>
      </c>
    </row>
    <row r="284" spans="1:10" x14ac:dyDescent="0.2">
      <c r="B284" s="3">
        <v>0</v>
      </c>
      <c r="C284" s="3">
        <v>3822590.6150000002</v>
      </c>
      <c r="D284" s="3">
        <v>2145857.1346999998</v>
      </c>
      <c r="E284" s="3">
        <v>1162914.2831999999</v>
      </c>
      <c r="F284" s="3">
        <v>560325.18579999998</v>
      </c>
      <c r="G284" s="3">
        <v>430328.45970000001</v>
      </c>
      <c r="H284" s="3">
        <v>376868.45799999998</v>
      </c>
      <c r="I284" s="3">
        <v>423982.80729999999</v>
      </c>
      <c r="J284" s="3">
        <f>SUM(C284:I284)</f>
        <v>8922866.9437000006</v>
      </c>
    </row>
    <row r="285" spans="1:10" x14ac:dyDescent="0.2">
      <c r="B285" s="3">
        <v>1</v>
      </c>
      <c r="C285" s="3">
        <v>828516.14500000002</v>
      </c>
      <c r="D285" s="3">
        <v>1433451.7503</v>
      </c>
      <c r="E285" s="3">
        <v>1382532.3156000001</v>
      </c>
      <c r="F285" s="3">
        <v>909704.91890000005</v>
      </c>
      <c r="G285" s="3">
        <v>799377.10019999999</v>
      </c>
      <c r="H285" s="3">
        <v>542771.18570000003</v>
      </c>
      <c r="I285" s="3">
        <v>397409.51500000001</v>
      </c>
      <c r="J285" s="3">
        <f t="shared" ref="J285:J300" si="25">SUM(C285:I285)</f>
        <v>6293762.9307000004</v>
      </c>
    </row>
    <row r="286" spans="1:10" x14ac:dyDescent="0.2">
      <c r="B286" s="3">
        <v>2</v>
      </c>
      <c r="C286" s="3">
        <v>98855.457299999995</v>
      </c>
      <c r="D286" s="3">
        <v>802534.72979999997</v>
      </c>
      <c r="E286" s="3">
        <v>1073693.29</v>
      </c>
      <c r="F286" s="3">
        <v>1380789.7579000001</v>
      </c>
      <c r="G286" s="3">
        <v>1176282.3891</v>
      </c>
      <c r="H286" s="3">
        <v>1100470.8159</v>
      </c>
      <c r="I286" s="3">
        <v>654360.94929999998</v>
      </c>
      <c r="J286" s="3">
        <f t="shared" si="25"/>
        <v>6286987.3892999999</v>
      </c>
    </row>
    <row r="287" spans="1:10" x14ac:dyDescent="0.2">
      <c r="B287" s="3">
        <v>3</v>
      </c>
      <c r="C287" s="3">
        <v>15106.737800000001</v>
      </c>
      <c r="D287" s="3">
        <v>247327.00820000001</v>
      </c>
      <c r="E287" s="3">
        <v>642823.57010000001</v>
      </c>
      <c r="F287" s="3">
        <v>726046.75120000006</v>
      </c>
      <c r="G287" s="3">
        <v>730102.93579999998</v>
      </c>
      <c r="H287" s="3">
        <v>716641.93649999995</v>
      </c>
      <c r="I287" s="3">
        <v>584725.67980000004</v>
      </c>
      <c r="J287" s="3">
        <f t="shared" si="25"/>
        <v>3662774.6193999997</v>
      </c>
    </row>
    <row r="288" spans="1:10" x14ac:dyDescent="0.2">
      <c r="B288" s="3">
        <v>4</v>
      </c>
      <c r="C288" s="3">
        <v>1092.2003</v>
      </c>
      <c r="D288" s="3">
        <v>45525.639600000002</v>
      </c>
      <c r="E288" s="3">
        <v>157777.2703</v>
      </c>
      <c r="F288" s="3">
        <v>225864.13860000001</v>
      </c>
      <c r="G288" s="3">
        <v>412520.27610000002</v>
      </c>
      <c r="H288" s="3">
        <v>276446.163</v>
      </c>
      <c r="I288" s="3">
        <v>353473.63459999999</v>
      </c>
      <c r="J288" s="3">
        <f t="shared" si="25"/>
        <v>1472699.3225</v>
      </c>
    </row>
    <row r="289" spans="2:10" x14ac:dyDescent="0.2">
      <c r="B289" s="3">
        <v>5</v>
      </c>
      <c r="C289" s="3">
        <v>0</v>
      </c>
      <c r="D289" s="3">
        <v>11404.831700000001</v>
      </c>
      <c r="E289" s="3">
        <v>34242.607499999998</v>
      </c>
      <c r="F289" s="3">
        <v>123757.55839999999</v>
      </c>
      <c r="G289" s="3">
        <v>148020.5024</v>
      </c>
      <c r="H289" s="3">
        <v>243485.53909999999</v>
      </c>
      <c r="I289" s="3">
        <v>222506.1153</v>
      </c>
      <c r="J289" s="3">
        <f t="shared" si="25"/>
        <v>783417.15439999988</v>
      </c>
    </row>
    <row r="290" spans="2:10" x14ac:dyDescent="0.2">
      <c r="B290" s="3">
        <v>6</v>
      </c>
      <c r="C290" s="3">
        <v>0</v>
      </c>
      <c r="D290" s="3">
        <v>2627.6026000000002</v>
      </c>
      <c r="E290" s="3">
        <v>10378.6829</v>
      </c>
      <c r="F290" s="3">
        <v>51405.137900000002</v>
      </c>
      <c r="G290" s="3">
        <v>57105.877399999998</v>
      </c>
      <c r="H290" s="3">
        <v>116284.0882</v>
      </c>
      <c r="I290" s="3">
        <v>178406.94760000001</v>
      </c>
      <c r="J290" s="3">
        <f t="shared" si="25"/>
        <v>416208.33660000004</v>
      </c>
    </row>
    <row r="291" spans="2:10" x14ac:dyDescent="0.2">
      <c r="B291" s="3">
        <v>7</v>
      </c>
      <c r="C291" s="3">
        <v>0</v>
      </c>
      <c r="D291" s="3">
        <v>0</v>
      </c>
      <c r="E291" s="3">
        <v>603.30119999999999</v>
      </c>
      <c r="F291" s="3">
        <v>22057.267199999998</v>
      </c>
      <c r="G291" s="3">
        <v>34147.103300000002</v>
      </c>
      <c r="H291" s="3">
        <v>55864.794699999999</v>
      </c>
      <c r="I291" s="3">
        <v>55041.6996</v>
      </c>
      <c r="J291" s="3">
        <f t="shared" si="25"/>
        <v>167714.166</v>
      </c>
    </row>
    <row r="292" spans="2:10" x14ac:dyDescent="0.2">
      <c r="B292" s="3">
        <v>8</v>
      </c>
      <c r="C292" s="3">
        <v>0</v>
      </c>
      <c r="D292" s="3">
        <v>0</v>
      </c>
      <c r="E292" s="3">
        <v>2876.3081000000002</v>
      </c>
      <c r="F292" s="3">
        <v>2281.7291</v>
      </c>
      <c r="G292" s="3">
        <v>15125.973900000001</v>
      </c>
      <c r="H292" s="3">
        <v>19358.571899999999</v>
      </c>
      <c r="I292" s="3">
        <v>70141.531400000007</v>
      </c>
      <c r="J292" s="3">
        <f t="shared" si="25"/>
        <v>109784.11440000001</v>
      </c>
    </row>
    <row r="293" spans="2:10" x14ac:dyDescent="0.2">
      <c r="B293" s="3">
        <v>9</v>
      </c>
      <c r="C293" s="3">
        <v>0</v>
      </c>
      <c r="D293" s="3">
        <v>0</v>
      </c>
      <c r="E293" s="3">
        <v>0</v>
      </c>
      <c r="F293" s="3">
        <v>542.32479999999998</v>
      </c>
      <c r="G293" s="3">
        <v>20239.66</v>
      </c>
      <c r="H293" s="3">
        <v>42952.620799999997</v>
      </c>
      <c r="I293" s="3">
        <v>9220.2284999999993</v>
      </c>
      <c r="J293" s="3">
        <f t="shared" si="25"/>
        <v>72954.834099999993</v>
      </c>
    </row>
    <row r="294" spans="2:10" x14ac:dyDescent="0.2">
      <c r="B294" s="3">
        <v>10</v>
      </c>
      <c r="C294" s="3">
        <v>0</v>
      </c>
      <c r="D294" s="3">
        <v>0</v>
      </c>
      <c r="E294" s="3">
        <v>0</v>
      </c>
      <c r="F294" s="3">
        <v>313.8236</v>
      </c>
      <c r="G294" s="3">
        <v>1795.5365999999999</v>
      </c>
      <c r="H294" s="3">
        <v>4236.3872000000001</v>
      </c>
      <c r="I294" s="3">
        <v>24389.2248</v>
      </c>
      <c r="J294" s="3">
        <f t="shared" si="25"/>
        <v>30734.9722</v>
      </c>
    </row>
    <row r="295" spans="2:10" x14ac:dyDescent="0.2">
      <c r="B295" s="3">
        <v>11</v>
      </c>
      <c r="C295" s="3">
        <v>0</v>
      </c>
      <c r="D295" s="3">
        <v>0</v>
      </c>
      <c r="E295" s="3">
        <v>0</v>
      </c>
      <c r="F295" s="3">
        <v>0</v>
      </c>
      <c r="G295" s="3">
        <v>163.01220000000001</v>
      </c>
      <c r="H295" s="3">
        <v>18562.636200000001</v>
      </c>
      <c r="I295" s="3">
        <v>6510.2628000000004</v>
      </c>
      <c r="J295" s="3">
        <f t="shared" si="25"/>
        <v>25235.911200000002</v>
      </c>
    </row>
    <row r="296" spans="2:10" x14ac:dyDescent="0.2">
      <c r="B296" s="3">
        <v>12</v>
      </c>
      <c r="C296" s="3">
        <v>0</v>
      </c>
      <c r="D296" s="3">
        <v>0</v>
      </c>
      <c r="E296" s="3">
        <v>0</v>
      </c>
      <c r="F296" s="3">
        <v>0</v>
      </c>
      <c r="G296" s="3">
        <v>150.76320000000001</v>
      </c>
      <c r="H296" s="3">
        <v>2654.5907000000002</v>
      </c>
      <c r="I296" s="3">
        <v>10547.5839</v>
      </c>
      <c r="J296" s="3">
        <f t="shared" si="25"/>
        <v>13352.9378</v>
      </c>
    </row>
    <row r="297" spans="2:10" x14ac:dyDescent="0.2">
      <c r="B297" s="3">
        <v>13</v>
      </c>
      <c r="C297" s="3">
        <v>0</v>
      </c>
      <c r="D297" s="3">
        <v>0</v>
      </c>
      <c r="E297" s="3">
        <v>0</v>
      </c>
      <c r="F297" s="3">
        <v>0</v>
      </c>
      <c r="G297" s="3">
        <v>1988.472</v>
      </c>
      <c r="H297" s="3">
        <v>339.41399999999999</v>
      </c>
      <c r="I297" s="3">
        <v>706.67309999999998</v>
      </c>
      <c r="J297" s="3">
        <f t="shared" si="25"/>
        <v>3034.5590999999999</v>
      </c>
    </row>
    <row r="298" spans="2:10" x14ac:dyDescent="0.2">
      <c r="B298" s="3">
        <v>14</v>
      </c>
      <c r="C298" s="3">
        <v>0</v>
      </c>
      <c r="D298" s="3">
        <v>0</v>
      </c>
      <c r="E298" s="3">
        <v>0</v>
      </c>
      <c r="F298" s="3">
        <v>0</v>
      </c>
      <c r="G298" s="3">
        <v>0</v>
      </c>
      <c r="H298" s="3">
        <v>1110.4314999999999</v>
      </c>
      <c r="I298" s="3">
        <v>0</v>
      </c>
      <c r="J298" s="3">
        <f t="shared" si="25"/>
        <v>1110.4314999999999</v>
      </c>
    </row>
    <row r="299" spans="2:10" x14ac:dyDescent="0.2">
      <c r="B299" s="3">
        <v>15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220.41079999999999</v>
      </c>
      <c r="J299" s="3">
        <f t="shared" si="25"/>
        <v>220.41079999999999</v>
      </c>
    </row>
    <row r="300" spans="2:10" x14ac:dyDescent="0.2">
      <c r="B300" s="3">
        <v>16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7263.7302</v>
      </c>
      <c r="J300" s="3">
        <f t="shared" si="25"/>
        <v>7263.7302</v>
      </c>
    </row>
    <row r="301" spans="2:10" x14ac:dyDescent="0.2">
      <c r="C301" s="3">
        <f t="shared" ref="C301:I301" si="26">SUMPRODUCT($B$284:$B$300,C284:C300)</f>
        <v>1075916.0742000001</v>
      </c>
      <c r="D301" s="3">
        <f t="shared" si="26"/>
        <v>4035394.5670000003</v>
      </c>
      <c r="E301" s="3">
        <f t="shared" si="26"/>
        <v>6350217.3952000011</v>
      </c>
      <c r="F301" s="3">
        <f t="shared" si="26"/>
        <v>7860773.7245000005</v>
      </c>
      <c r="G301" s="3">
        <f t="shared" si="26"/>
        <v>8664671.8154999968</v>
      </c>
      <c r="H301" s="3">
        <f t="shared" si="26"/>
        <v>9145417.6106000002</v>
      </c>
      <c r="I301" s="3">
        <f t="shared" si="26"/>
        <v>8657370.1994999982</v>
      </c>
      <c r="J301" s="3">
        <f>SUMPRODUCT($B$80:$B$96,J284:J300)</f>
        <v>45789761.386500008</v>
      </c>
    </row>
    <row r="302" spans="2:10" x14ac:dyDescent="0.2">
      <c r="B302" t="s">
        <v>24</v>
      </c>
      <c r="C302" t="s">
        <v>3</v>
      </c>
      <c r="D302" t="s">
        <v>27</v>
      </c>
    </row>
    <row r="304" spans="2:10" x14ac:dyDescent="0.2">
      <c r="B304" s="3" t="s">
        <v>7</v>
      </c>
      <c r="C304" s="3"/>
      <c r="D304" s="3"/>
      <c r="E304" s="3"/>
      <c r="F304" s="3"/>
      <c r="G304" s="3"/>
      <c r="H304" s="3"/>
      <c r="I304" s="3"/>
    </row>
    <row r="305" spans="1:10" x14ac:dyDescent="0.2">
      <c r="A305" t="s">
        <v>35</v>
      </c>
      <c r="C305" s="3" t="s">
        <v>8</v>
      </c>
      <c r="D305" s="3" t="s">
        <v>9</v>
      </c>
      <c r="E305" s="3" t="s">
        <v>10</v>
      </c>
      <c r="F305" s="3" t="s">
        <v>11</v>
      </c>
      <c r="G305" s="3" t="s">
        <v>12</v>
      </c>
      <c r="H305" s="3" t="s">
        <v>13</v>
      </c>
      <c r="I305" s="3" t="s">
        <v>14</v>
      </c>
      <c r="J305" s="3" t="s">
        <v>28</v>
      </c>
    </row>
    <row r="306" spans="1:10" x14ac:dyDescent="0.2">
      <c r="B306" s="3">
        <v>0</v>
      </c>
      <c r="C306" s="3">
        <v>523437.21169999999</v>
      </c>
      <c r="D306" s="3">
        <v>283145.47120000003</v>
      </c>
      <c r="E306" s="3">
        <v>190543.82870000001</v>
      </c>
      <c r="F306" s="3">
        <v>50223.1492</v>
      </c>
      <c r="G306" s="3">
        <v>24236.7435</v>
      </c>
      <c r="H306" s="3">
        <v>7183.3270000000002</v>
      </c>
      <c r="I306" s="3">
        <v>38590.006200000003</v>
      </c>
      <c r="J306" s="3">
        <f>SUM(C306:I306)</f>
        <v>1117359.7375</v>
      </c>
    </row>
    <row r="307" spans="1:10" x14ac:dyDescent="0.2">
      <c r="B307" s="3">
        <v>1</v>
      </c>
      <c r="C307" s="3">
        <v>44131.210299999999</v>
      </c>
      <c r="D307" s="3">
        <v>216857.25</v>
      </c>
      <c r="E307" s="3">
        <v>75683.518299999996</v>
      </c>
      <c r="F307" s="3">
        <v>106455.05439999999</v>
      </c>
      <c r="G307" s="3">
        <v>71928.420100000003</v>
      </c>
      <c r="H307" s="3">
        <v>31016.2562</v>
      </c>
      <c r="I307" s="3">
        <v>10176.5337</v>
      </c>
      <c r="J307" s="3">
        <f t="shared" ref="J307:J322" si="27">SUM(C307:I307)</f>
        <v>556248.24300000002</v>
      </c>
    </row>
    <row r="308" spans="1:10" x14ac:dyDescent="0.2">
      <c r="B308" s="3">
        <v>2</v>
      </c>
      <c r="C308" s="3">
        <v>31218.504799999999</v>
      </c>
      <c r="D308" s="3">
        <v>29977.664400000001</v>
      </c>
      <c r="E308" s="3">
        <v>80017.662299999996</v>
      </c>
      <c r="F308" s="3">
        <v>108946.976</v>
      </c>
      <c r="G308" s="3">
        <v>108590.5151</v>
      </c>
      <c r="H308" s="3">
        <v>91445.353700000007</v>
      </c>
      <c r="I308" s="3">
        <v>59808.169099999999</v>
      </c>
      <c r="J308" s="3">
        <f t="shared" si="27"/>
        <v>510004.84540000005</v>
      </c>
    </row>
    <row r="309" spans="1:10" x14ac:dyDescent="0.2">
      <c r="B309" s="3">
        <v>3</v>
      </c>
      <c r="C309" s="3">
        <v>0</v>
      </c>
      <c r="D309" s="3">
        <v>25194.071100000001</v>
      </c>
      <c r="E309" s="3">
        <v>52022.107100000001</v>
      </c>
      <c r="F309" s="3">
        <v>61012.402900000001</v>
      </c>
      <c r="G309" s="3">
        <v>50684.4709</v>
      </c>
      <c r="H309" s="3">
        <v>69085.867899999997</v>
      </c>
      <c r="I309" s="3">
        <v>62293.1345</v>
      </c>
      <c r="J309" s="3">
        <f t="shared" si="27"/>
        <v>320292.05440000002</v>
      </c>
    </row>
    <row r="310" spans="1:10" x14ac:dyDescent="0.2">
      <c r="B310" s="3">
        <v>4</v>
      </c>
      <c r="C310" s="3">
        <v>0</v>
      </c>
      <c r="D310" s="3">
        <v>1702.8277</v>
      </c>
      <c r="E310" s="3">
        <v>30699.390899999999</v>
      </c>
      <c r="F310" s="3">
        <v>6708.1790000000001</v>
      </c>
      <c r="G310" s="3">
        <v>8281.2260999999999</v>
      </c>
      <c r="H310" s="3">
        <v>48368.7955</v>
      </c>
      <c r="I310" s="3">
        <v>11088.962</v>
      </c>
      <c r="J310" s="3">
        <f t="shared" si="27"/>
        <v>106849.3812</v>
      </c>
    </row>
    <row r="311" spans="1:10" x14ac:dyDescent="0.2">
      <c r="B311" s="3">
        <v>5</v>
      </c>
      <c r="C311" s="3">
        <v>0</v>
      </c>
      <c r="D311" s="3">
        <v>0</v>
      </c>
      <c r="E311" s="3">
        <v>483.49599999999998</v>
      </c>
      <c r="F311" s="3">
        <v>10991.4182</v>
      </c>
      <c r="G311" s="3">
        <v>654.94010000000003</v>
      </c>
      <c r="H311" s="3">
        <v>2240.1331</v>
      </c>
      <c r="I311" s="3">
        <v>1429.4073000000001</v>
      </c>
      <c r="J311" s="3">
        <f t="shared" si="27"/>
        <v>15799.394699999999</v>
      </c>
    </row>
    <row r="312" spans="1:10" x14ac:dyDescent="0.2">
      <c r="B312" s="3">
        <v>6</v>
      </c>
      <c r="C312" s="3">
        <v>0</v>
      </c>
      <c r="D312" s="3">
        <v>0</v>
      </c>
      <c r="E312" s="3">
        <v>0</v>
      </c>
      <c r="F312" s="3">
        <v>5883.6854999999996</v>
      </c>
      <c r="G312" s="3">
        <v>0</v>
      </c>
      <c r="H312" s="3">
        <v>2952.8429000000001</v>
      </c>
      <c r="I312" s="3">
        <v>1533.2656999999999</v>
      </c>
      <c r="J312" s="3">
        <f t="shared" si="27"/>
        <v>10369.794099999999</v>
      </c>
    </row>
    <row r="313" spans="1:10" x14ac:dyDescent="0.2">
      <c r="B313" s="3">
        <v>7</v>
      </c>
      <c r="C313" s="3">
        <v>0</v>
      </c>
      <c r="D313" s="3">
        <v>0</v>
      </c>
      <c r="E313" s="3">
        <v>0</v>
      </c>
      <c r="F313" s="3">
        <v>2191.4144000000001</v>
      </c>
      <c r="G313" s="3">
        <v>48643.805099999998</v>
      </c>
      <c r="H313" s="3">
        <v>558.42190000000005</v>
      </c>
      <c r="I313" s="3">
        <v>0</v>
      </c>
      <c r="J313" s="3">
        <f t="shared" si="27"/>
        <v>51393.6414</v>
      </c>
    </row>
    <row r="314" spans="1:10" x14ac:dyDescent="0.2">
      <c r="B314" s="3">
        <v>8</v>
      </c>
      <c r="C314" s="3">
        <v>0</v>
      </c>
      <c r="D314" s="3">
        <v>0</v>
      </c>
      <c r="E314" s="3">
        <v>0</v>
      </c>
      <c r="F314" s="3">
        <v>0</v>
      </c>
      <c r="G314" s="3">
        <v>371.28859999999997</v>
      </c>
      <c r="H314" s="3">
        <v>0</v>
      </c>
      <c r="I314" s="3">
        <v>12715.706899999999</v>
      </c>
      <c r="J314" s="3">
        <f t="shared" si="27"/>
        <v>13086.995499999999</v>
      </c>
    </row>
    <row r="315" spans="1:10" x14ac:dyDescent="0.2">
      <c r="B315" s="3">
        <v>9</v>
      </c>
      <c r="C315" s="3">
        <v>0</v>
      </c>
      <c r="D315" s="3">
        <v>0</v>
      </c>
      <c r="E315" s="3">
        <v>0</v>
      </c>
      <c r="F315" s="3">
        <v>0</v>
      </c>
      <c r="G315" s="3">
        <v>328.68560000000002</v>
      </c>
      <c r="H315" s="3">
        <v>1264.8920000000001</v>
      </c>
      <c r="I315" s="3">
        <v>1170.4348</v>
      </c>
      <c r="J315" s="3">
        <f t="shared" si="27"/>
        <v>2764.0124000000001</v>
      </c>
    </row>
    <row r="316" spans="1:10" x14ac:dyDescent="0.2">
      <c r="B316" s="3">
        <v>10</v>
      </c>
      <c r="C316" s="3">
        <v>0</v>
      </c>
      <c r="D316" s="3">
        <v>0</v>
      </c>
      <c r="E316" s="3">
        <v>0</v>
      </c>
      <c r="F316" s="3">
        <v>0</v>
      </c>
      <c r="G316" s="3">
        <v>243.8742</v>
      </c>
      <c r="H316" s="3">
        <v>0</v>
      </c>
      <c r="I316" s="3">
        <v>0</v>
      </c>
      <c r="J316" s="3">
        <f t="shared" si="27"/>
        <v>243.8742</v>
      </c>
    </row>
    <row r="317" spans="1:10" x14ac:dyDescent="0.2">
      <c r="B317" s="3">
        <v>11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8046.8140999999996</v>
      </c>
      <c r="I317" s="3">
        <v>0</v>
      </c>
      <c r="J317" s="3">
        <f t="shared" si="27"/>
        <v>8046.8140999999996</v>
      </c>
    </row>
    <row r="318" spans="1:10" x14ac:dyDescent="0.2">
      <c r="B318" s="3">
        <v>12</v>
      </c>
      <c r="C318" s="3">
        <v>0</v>
      </c>
      <c r="D318" s="3">
        <v>0</v>
      </c>
      <c r="E318" s="3">
        <v>0</v>
      </c>
      <c r="F318" s="3">
        <v>0</v>
      </c>
      <c r="G318" s="3">
        <v>329.4624</v>
      </c>
      <c r="H318" s="3">
        <v>1763.1068</v>
      </c>
      <c r="I318" s="3">
        <v>621.60599999999999</v>
      </c>
      <c r="J318" s="3">
        <f t="shared" si="27"/>
        <v>2714.1751999999997</v>
      </c>
    </row>
    <row r="319" spans="1:10" x14ac:dyDescent="0.2">
      <c r="B319" s="3">
        <v>13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0</v>
      </c>
      <c r="J319" s="3">
        <f t="shared" si="27"/>
        <v>0</v>
      </c>
    </row>
    <row r="320" spans="1:10" x14ac:dyDescent="0.2">
      <c r="B320" s="3">
        <v>14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f t="shared" si="27"/>
        <v>0</v>
      </c>
    </row>
    <row r="321" spans="2:10" x14ac:dyDescent="0.2">
      <c r="B321" s="3">
        <v>15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f t="shared" si="27"/>
        <v>0</v>
      </c>
    </row>
    <row r="322" spans="2:10" x14ac:dyDescent="0.2">
      <c r="B322" s="3">
        <v>16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f t="shared" si="27"/>
        <v>0</v>
      </c>
    </row>
    <row r="323" spans="2:10" x14ac:dyDescent="0.2">
      <c r="C323" s="3">
        <f t="shared" ref="C323:I323" si="28">SUMPRODUCT($B$306:$B$322,C306:C322)</f>
        <v>106568.2199</v>
      </c>
      <c r="D323" s="3">
        <f t="shared" si="28"/>
        <v>359206.1029</v>
      </c>
      <c r="E323" s="3">
        <f t="shared" si="28"/>
        <v>517000.20779999997</v>
      </c>
      <c r="F323" s="3">
        <f t="shared" si="28"/>
        <v>639818.0358999999</v>
      </c>
      <c r="G323" s="3">
        <f t="shared" si="28"/>
        <v>830389.87359999993</v>
      </c>
      <c r="H323" s="3">
        <f t="shared" si="28"/>
        <v>768522.69020000019</v>
      </c>
      <c r="I323" s="3">
        <f t="shared" si="28"/>
        <v>497093.59450000001</v>
      </c>
      <c r="J323" s="3">
        <f>SUMPRODUCT($B$80:$B$96,J306:J322)</f>
        <v>3718598.7248</v>
      </c>
    </row>
  </sheetData>
  <pageMargins left="0.511811024" right="0.511811024" top="0.78740157499999996" bottom="0.78740157499999996" header="0.31496062000000002" footer="0.31496062000000002"/>
  <ignoredErrors>
    <ignoredError sqref="J5:J21" formulaRange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8E783-AF3C-F048-B37D-F34DE09B27DD}">
  <dimension ref="A1:J323"/>
  <sheetViews>
    <sheetView topLeftCell="A108" workbookViewId="0">
      <selection activeCell="I30" sqref="I30"/>
    </sheetView>
  </sheetViews>
  <sheetFormatPr baseColWidth="10" defaultRowHeight="16" x14ac:dyDescent="0.2"/>
  <cols>
    <col min="2" max="8" width="11" customWidth="1"/>
    <col min="9" max="9" width="17" bestFit="1" customWidth="1"/>
    <col min="10" max="10" width="12.1640625" bestFit="1" customWidth="1"/>
  </cols>
  <sheetData>
    <row r="1" spans="1:10" x14ac:dyDescent="0.2">
      <c r="A1" t="s">
        <v>0</v>
      </c>
      <c r="B1" t="s">
        <v>33</v>
      </c>
    </row>
    <row r="2" spans="1:10" x14ac:dyDescent="0.2">
      <c r="A2" t="s">
        <v>0</v>
      </c>
      <c r="B2" t="s">
        <v>34</v>
      </c>
      <c r="C2" t="s">
        <v>2</v>
      </c>
      <c r="D2" t="s">
        <v>3</v>
      </c>
      <c r="E2" t="s">
        <v>4</v>
      </c>
    </row>
    <row r="3" spans="1:10" x14ac:dyDescent="0.2">
      <c r="B3" t="s">
        <v>7</v>
      </c>
    </row>
    <row r="4" spans="1:10" x14ac:dyDescent="0.2">
      <c r="A4" t="s">
        <v>35</v>
      </c>
      <c r="B4" s="3"/>
      <c r="C4" s="3" t="s">
        <v>8</v>
      </c>
      <c r="D4" s="3" t="s">
        <v>9</v>
      </c>
      <c r="E4" s="3" t="s">
        <v>10</v>
      </c>
      <c r="F4" s="3" t="s">
        <v>11</v>
      </c>
      <c r="G4" s="3" t="s">
        <v>12</v>
      </c>
      <c r="H4" s="3" t="s">
        <v>13</v>
      </c>
      <c r="I4" s="3" t="s">
        <v>14</v>
      </c>
      <c r="J4" s="3" t="s">
        <v>28</v>
      </c>
    </row>
    <row r="5" spans="1:10" x14ac:dyDescent="0.2">
      <c r="B5" s="3">
        <v>0</v>
      </c>
      <c r="C5" s="3">
        <v>697839.7</v>
      </c>
      <c r="D5" s="3">
        <v>526746</v>
      </c>
      <c r="E5" s="3">
        <v>445470.1</v>
      </c>
      <c r="F5" s="3">
        <v>497812.9</v>
      </c>
      <c r="G5" s="3">
        <v>493104.4</v>
      </c>
      <c r="H5" s="3">
        <v>396245.7</v>
      </c>
      <c r="I5" s="3">
        <v>461480.3</v>
      </c>
      <c r="J5" s="3">
        <f>SUM(C5:I5)</f>
        <v>3518699.0999999996</v>
      </c>
    </row>
    <row r="6" spans="1:10" x14ac:dyDescent="0.2">
      <c r="B6" s="3">
        <v>1</v>
      </c>
      <c r="C6" s="3">
        <v>1511189</v>
      </c>
      <c r="D6" s="3">
        <v>2024128</v>
      </c>
      <c r="E6" s="3">
        <v>1708728</v>
      </c>
      <c r="F6" s="3">
        <v>1280256</v>
      </c>
      <c r="G6" s="3">
        <v>1017685</v>
      </c>
      <c r="H6" s="3">
        <v>885856.6</v>
      </c>
      <c r="I6" s="3">
        <v>795260.6</v>
      </c>
      <c r="J6" s="3">
        <f t="shared" ref="J6:J21" si="0">SUM(C6:I6)</f>
        <v>9223103.1999999993</v>
      </c>
    </row>
    <row r="7" spans="1:10" x14ac:dyDescent="0.2">
      <c r="B7" s="3">
        <v>2</v>
      </c>
      <c r="C7" s="3">
        <v>4741306</v>
      </c>
      <c r="D7" s="3">
        <v>4552356</v>
      </c>
      <c r="E7" s="3">
        <v>4269818</v>
      </c>
      <c r="F7" s="3">
        <v>3649949</v>
      </c>
      <c r="G7" s="3">
        <v>3462222</v>
      </c>
      <c r="H7" s="3">
        <v>3126314</v>
      </c>
      <c r="I7" s="3">
        <v>2456730</v>
      </c>
      <c r="J7" s="3">
        <f t="shared" si="0"/>
        <v>26258695</v>
      </c>
    </row>
    <row r="8" spans="1:10" x14ac:dyDescent="0.2">
      <c r="B8" s="3">
        <v>3</v>
      </c>
      <c r="C8" s="3">
        <v>1094546</v>
      </c>
      <c r="D8" s="3">
        <v>1157093</v>
      </c>
      <c r="E8" s="3">
        <v>1197828</v>
      </c>
      <c r="F8" s="3">
        <v>1262847</v>
      </c>
      <c r="G8" s="3">
        <v>1313202</v>
      </c>
      <c r="H8" s="3">
        <v>1325872</v>
      </c>
      <c r="I8" s="3">
        <v>1019620</v>
      </c>
      <c r="J8" s="3">
        <f t="shared" si="0"/>
        <v>8371008</v>
      </c>
    </row>
    <row r="9" spans="1:10" x14ac:dyDescent="0.2">
      <c r="B9" s="3">
        <v>4</v>
      </c>
      <c r="C9" s="3">
        <v>186963.8</v>
      </c>
      <c r="D9" s="3">
        <v>229362.1</v>
      </c>
      <c r="E9" s="3">
        <v>230848.7</v>
      </c>
      <c r="F9" s="3">
        <v>331024.09999999998</v>
      </c>
      <c r="G9" s="3">
        <v>519896.4</v>
      </c>
      <c r="H9" s="3">
        <v>596519.1</v>
      </c>
      <c r="I9" s="3">
        <v>529248.80000000005</v>
      </c>
      <c r="J9" s="3">
        <f t="shared" si="0"/>
        <v>2623863</v>
      </c>
    </row>
    <row r="10" spans="1:10" x14ac:dyDescent="0.2">
      <c r="B10" s="3">
        <v>5</v>
      </c>
      <c r="C10" s="3">
        <v>75829.39</v>
      </c>
      <c r="D10" s="3">
        <v>44558.01</v>
      </c>
      <c r="E10" s="3">
        <v>48827.92</v>
      </c>
      <c r="F10" s="3">
        <v>121460.9</v>
      </c>
      <c r="G10" s="3">
        <v>110822.1</v>
      </c>
      <c r="H10" s="3">
        <v>242984</v>
      </c>
      <c r="I10" s="3">
        <v>198730.7</v>
      </c>
      <c r="J10" s="3">
        <f t="shared" si="0"/>
        <v>843213.02</v>
      </c>
    </row>
    <row r="11" spans="1:10" x14ac:dyDescent="0.2">
      <c r="B11" s="3">
        <v>6</v>
      </c>
      <c r="C11" s="3">
        <v>24173.32</v>
      </c>
      <c r="D11" s="3">
        <v>39503.53</v>
      </c>
      <c r="E11" s="3">
        <v>20794.259999999998</v>
      </c>
      <c r="F11" s="3">
        <v>29386.5</v>
      </c>
      <c r="G11" s="3">
        <v>59291.53</v>
      </c>
      <c r="H11" s="3">
        <v>109265.9</v>
      </c>
      <c r="I11" s="3">
        <v>171430.39999999999</v>
      </c>
      <c r="J11" s="3">
        <f t="shared" si="0"/>
        <v>453845.44000000006</v>
      </c>
    </row>
    <row r="12" spans="1:10" x14ac:dyDescent="0.2">
      <c r="B12" s="3">
        <v>7</v>
      </c>
      <c r="C12" s="3">
        <v>0</v>
      </c>
      <c r="D12" s="3">
        <v>1563.7080000000001</v>
      </c>
      <c r="E12" s="3">
        <v>144.3586</v>
      </c>
      <c r="F12" s="3">
        <v>1236.963</v>
      </c>
      <c r="G12" s="3">
        <v>24490.06</v>
      </c>
      <c r="H12" s="3">
        <v>39388.83</v>
      </c>
      <c r="I12" s="3">
        <v>30311.03</v>
      </c>
      <c r="J12" s="3">
        <f t="shared" si="0"/>
        <v>97134.949599999993</v>
      </c>
    </row>
    <row r="13" spans="1:10" x14ac:dyDescent="0.2">
      <c r="B13" s="3">
        <v>8</v>
      </c>
      <c r="C13" s="3">
        <v>1925.921</v>
      </c>
      <c r="D13" s="3">
        <v>1482.491</v>
      </c>
      <c r="E13" s="3">
        <v>2056.7429999999999</v>
      </c>
      <c r="F13" s="3">
        <v>1196.798</v>
      </c>
      <c r="G13" s="3">
        <v>25301.79</v>
      </c>
      <c r="H13" s="3">
        <v>34562.57</v>
      </c>
      <c r="I13" s="3">
        <v>41838.86</v>
      </c>
      <c r="J13" s="3">
        <f t="shared" si="0"/>
        <v>108365.173</v>
      </c>
    </row>
    <row r="14" spans="1:10" x14ac:dyDescent="0.2">
      <c r="B14" s="3">
        <v>9</v>
      </c>
      <c r="C14" s="3">
        <v>0</v>
      </c>
      <c r="D14" s="3">
        <v>0</v>
      </c>
      <c r="E14" s="3">
        <v>0</v>
      </c>
      <c r="F14" s="3">
        <v>35.311349999999997</v>
      </c>
      <c r="G14" s="3">
        <v>1526.771</v>
      </c>
      <c r="H14" s="3">
        <v>10501.53</v>
      </c>
      <c r="I14" s="3">
        <v>2284.873</v>
      </c>
      <c r="J14" s="3">
        <f t="shared" si="0"/>
        <v>14348.485350000001</v>
      </c>
    </row>
    <row r="15" spans="1:10" x14ac:dyDescent="0.2">
      <c r="B15" s="3">
        <v>10</v>
      </c>
      <c r="C15" s="3">
        <v>0</v>
      </c>
      <c r="D15" s="3">
        <v>611.17290000000003</v>
      </c>
      <c r="E15" s="3">
        <v>4592.5039999999999</v>
      </c>
      <c r="F15" s="3">
        <v>7311.6480000000001</v>
      </c>
      <c r="G15" s="3">
        <v>12130.68</v>
      </c>
      <c r="H15" s="3">
        <v>22057.16</v>
      </c>
      <c r="I15" s="3">
        <v>76018.710000000006</v>
      </c>
      <c r="J15" s="3">
        <f t="shared" si="0"/>
        <v>122721.87490000001</v>
      </c>
    </row>
    <row r="16" spans="1:10" x14ac:dyDescent="0.2">
      <c r="B16" s="3">
        <v>11</v>
      </c>
      <c r="C16" s="3">
        <v>0</v>
      </c>
      <c r="D16" s="3">
        <v>544.76130000000001</v>
      </c>
      <c r="E16" s="3">
        <v>0</v>
      </c>
      <c r="F16" s="3">
        <v>45402.64</v>
      </c>
      <c r="G16" s="3">
        <v>1771.55</v>
      </c>
      <c r="H16" s="3">
        <v>164.31569999999999</v>
      </c>
      <c r="I16" s="3">
        <v>12268.85</v>
      </c>
      <c r="J16" s="3">
        <f t="shared" si="0"/>
        <v>60152.116999999998</v>
      </c>
    </row>
    <row r="17" spans="1:10" x14ac:dyDescent="0.2">
      <c r="B17" s="3">
        <v>12</v>
      </c>
      <c r="C17" s="3">
        <v>548.53610000000003</v>
      </c>
      <c r="D17" s="3">
        <v>0</v>
      </c>
      <c r="E17" s="3">
        <v>2791.2849999999999</v>
      </c>
      <c r="F17" s="3">
        <v>1132.6099999999999</v>
      </c>
      <c r="G17" s="3">
        <v>8492.6810000000005</v>
      </c>
      <c r="H17" s="3">
        <v>20271.330000000002</v>
      </c>
      <c r="I17" s="3">
        <v>16847.21</v>
      </c>
      <c r="J17" s="3">
        <f t="shared" si="0"/>
        <v>50083.652099999999</v>
      </c>
    </row>
    <row r="18" spans="1:10" x14ac:dyDescent="0.2">
      <c r="B18" s="3">
        <v>13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129.91239999999999</v>
      </c>
      <c r="J18" s="3">
        <f t="shared" si="0"/>
        <v>129.91239999999999</v>
      </c>
    </row>
    <row r="19" spans="1:10" x14ac:dyDescent="0.2">
      <c r="B19" s="3">
        <v>15</v>
      </c>
      <c r="C19" s="3">
        <v>0</v>
      </c>
      <c r="D19" s="3">
        <v>0</v>
      </c>
      <c r="E19" s="3">
        <v>0</v>
      </c>
      <c r="F19" s="3">
        <v>0</v>
      </c>
      <c r="G19" s="3">
        <v>2913.2179999999998</v>
      </c>
      <c r="H19" s="3">
        <v>0</v>
      </c>
      <c r="I19" s="3">
        <v>2378.3620000000001</v>
      </c>
      <c r="J19" s="3">
        <f t="shared" si="0"/>
        <v>5291.58</v>
      </c>
    </row>
    <row r="20" spans="1:10" x14ac:dyDescent="0.2">
      <c r="B20" s="3">
        <v>20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944.73090000000002</v>
      </c>
      <c r="I20" s="3">
        <v>718.59839999999997</v>
      </c>
      <c r="J20" s="3">
        <f t="shared" si="0"/>
        <v>1663.3292999999999</v>
      </c>
    </row>
    <row r="21" spans="1:10" x14ac:dyDescent="0.2">
      <c r="B21" s="3">
        <v>24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642.32410000000004</v>
      </c>
      <c r="J21" s="3">
        <f t="shared" si="0"/>
        <v>642.32410000000004</v>
      </c>
    </row>
    <row r="22" spans="1:10" x14ac:dyDescent="0.2">
      <c r="A22" t="s">
        <v>0</v>
      </c>
      <c r="C22" s="3">
        <f t="shared" ref="C22:I22" si="1">SUMPRODUCT($B$5:$B$21,C5:C21)</f>
        <v>15571470.871199999</v>
      </c>
      <c r="D22" s="3">
        <f t="shared" si="1"/>
        <v>16012288.6173</v>
      </c>
      <c r="E22" s="3">
        <f t="shared" si="1"/>
        <v>15231032.874199999</v>
      </c>
      <c r="F22" s="3">
        <f t="shared" si="1"/>
        <v>15081102.66715</v>
      </c>
      <c r="G22" s="3">
        <f t="shared" si="1"/>
        <v>15545170.251</v>
      </c>
      <c r="H22" s="3">
        <f t="shared" si="1"/>
        <v>16503958.190700002</v>
      </c>
      <c r="I22" s="3">
        <f t="shared" si="1"/>
        <v>14638726.654600002</v>
      </c>
      <c r="J22" s="3">
        <f>SUM(C22:I22)</f>
        <v>108583750.12614998</v>
      </c>
    </row>
    <row r="23" spans="1:10" x14ac:dyDescent="0.2">
      <c r="C23" s="12">
        <f>C22/SUM(C5:C21)</f>
        <v>1.8683549175536236</v>
      </c>
      <c r="D23" s="12">
        <f t="shared" ref="D23:J23" si="2">D22/SUM(D5:D21)</f>
        <v>1.8666803732061252</v>
      </c>
      <c r="E23" s="12">
        <f t="shared" si="2"/>
        <v>1.9202250561249037</v>
      </c>
      <c r="F23" s="12">
        <f t="shared" si="2"/>
        <v>2.0861797500603574</v>
      </c>
      <c r="G23" s="12">
        <f t="shared" si="2"/>
        <v>2.204097613626042</v>
      </c>
      <c r="H23" s="12">
        <f t="shared" si="2"/>
        <v>2.4231514843841939</v>
      </c>
      <c r="I23" s="12">
        <f t="shared" si="2"/>
        <v>2.5170011791459777</v>
      </c>
      <c r="J23" s="12">
        <f t="shared" si="2"/>
        <v>2.0981167027967498</v>
      </c>
    </row>
    <row r="24" spans="1:10" x14ac:dyDescent="0.2">
      <c r="C24" s="9"/>
      <c r="D24" s="9"/>
      <c r="E24" s="9"/>
      <c r="F24" s="9"/>
      <c r="G24" s="9"/>
      <c r="H24" s="9"/>
      <c r="I24" s="9"/>
      <c r="J24" s="9"/>
    </row>
    <row r="25" spans="1:10" s="10" customFormat="1" x14ac:dyDescent="0.2">
      <c r="C25" s="11"/>
      <c r="D25" s="11"/>
      <c r="E25" s="11"/>
      <c r="F25" s="11"/>
      <c r="J25" s="11"/>
    </row>
    <row r="26" spans="1:10" x14ac:dyDescent="0.2">
      <c r="A26" t="s">
        <v>0</v>
      </c>
      <c r="B26" t="s">
        <v>36</v>
      </c>
      <c r="C26" t="s">
        <v>37</v>
      </c>
      <c r="D26" t="s">
        <v>38</v>
      </c>
    </row>
    <row r="27" spans="1:10" x14ac:dyDescent="0.2">
      <c r="A27" t="s">
        <v>0</v>
      </c>
      <c r="B27" t="s">
        <v>39</v>
      </c>
      <c r="C27" t="s">
        <v>2</v>
      </c>
      <c r="D27" t="s">
        <v>3</v>
      </c>
      <c r="E27" t="s">
        <v>4</v>
      </c>
    </row>
    <row r="28" spans="1:10" x14ac:dyDescent="0.2">
      <c r="B28" t="s">
        <v>16</v>
      </c>
      <c r="C28" t="s">
        <v>3</v>
      </c>
      <c r="D28">
        <v>1</v>
      </c>
    </row>
    <row r="30" spans="1:10" x14ac:dyDescent="0.2">
      <c r="B30" t="s">
        <v>7</v>
      </c>
    </row>
    <row r="31" spans="1:10" x14ac:dyDescent="0.2">
      <c r="A31" t="s">
        <v>35</v>
      </c>
      <c r="B31" s="3"/>
      <c r="C31" s="3" t="s">
        <v>8</v>
      </c>
      <c r="D31" s="3" t="s">
        <v>9</v>
      </c>
      <c r="E31" s="3" t="s">
        <v>10</v>
      </c>
      <c r="F31" s="3" t="s">
        <v>11</v>
      </c>
      <c r="G31" s="3" t="s">
        <v>12</v>
      </c>
      <c r="H31" s="3" t="s">
        <v>13</v>
      </c>
      <c r="I31" s="3" t="s">
        <v>14</v>
      </c>
      <c r="J31" s="3" t="s">
        <v>28</v>
      </c>
    </row>
    <row r="32" spans="1:10" x14ac:dyDescent="0.2">
      <c r="B32" s="3">
        <v>0</v>
      </c>
      <c r="C32" s="3">
        <v>646482.1</v>
      </c>
      <c r="D32" s="3">
        <v>415050.5</v>
      </c>
      <c r="E32" s="3">
        <v>411542.7</v>
      </c>
      <c r="F32" s="3">
        <v>432113</v>
      </c>
      <c r="G32" s="3">
        <v>471550.3</v>
      </c>
      <c r="H32" s="3">
        <v>373108.2</v>
      </c>
      <c r="I32" s="3">
        <v>401898.5</v>
      </c>
      <c r="J32" s="3">
        <f>SUM(C32:I32)</f>
        <v>3151745.3000000003</v>
      </c>
    </row>
    <row r="33" spans="2:10" x14ac:dyDescent="0.2">
      <c r="B33" s="3">
        <v>1</v>
      </c>
      <c r="C33" s="3">
        <v>1265721</v>
      </c>
      <c r="D33" s="3">
        <v>1791219</v>
      </c>
      <c r="E33" s="3">
        <v>1500113</v>
      </c>
      <c r="F33" s="3">
        <v>1150593</v>
      </c>
      <c r="G33" s="3">
        <v>915624.2</v>
      </c>
      <c r="H33" s="3">
        <v>801396.5</v>
      </c>
      <c r="I33" s="3">
        <v>755124.4</v>
      </c>
      <c r="J33" s="3">
        <f t="shared" ref="J33:J48" si="3">SUM(C33:I33)</f>
        <v>8179791.1000000006</v>
      </c>
    </row>
    <row r="34" spans="2:10" x14ac:dyDescent="0.2">
      <c r="B34" s="3">
        <v>2</v>
      </c>
      <c r="C34" s="3">
        <v>3784859</v>
      </c>
      <c r="D34" s="3">
        <v>3702119</v>
      </c>
      <c r="E34" s="3">
        <v>3585261</v>
      </c>
      <c r="F34" s="3">
        <v>3058560</v>
      </c>
      <c r="G34" s="3">
        <v>2988576</v>
      </c>
      <c r="H34" s="3">
        <v>2628186</v>
      </c>
      <c r="I34" s="3">
        <v>2146851</v>
      </c>
      <c r="J34" s="3">
        <f t="shared" si="3"/>
        <v>21894412</v>
      </c>
    </row>
    <row r="35" spans="2:10" x14ac:dyDescent="0.2">
      <c r="B35" s="3">
        <v>3</v>
      </c>
      <c r="C35" s="3">
        <v>899496.3</v>
      </c>
      <c r="D35" s="3">
        <v>906089</v>
      </c>
      <c r="E35" s="3">
        <v>964226.8</v>
      </c>
      <c r="F35" s="3">
        <v>1053909</v>
      </c>
      <c r="G35" s="3">
        <v>1071634</v>
      </c>
      <c r="H35" s="3">
        <v>1042663</v>
      </c>
      <c r="I35" s="3">
        <v>843708.8</v>
      </c>
      <c r="J35" s="3">
        <f t="shared" si="3"/>
        <v>6781726.8999999994</v>
      </c>
    </row>
    <row r="36" spans="2:10" x14ac:dyDescent="0.2">
      <c r="B36" s="3">
        <v>4</v>
      </c>
      <c r="C36" s="3">
        <v>130102.39999999999</v>
      </c>
      <c r="D36" s="3">
        <v>208100.2</v>
      </c>
      <c r="E36" s="3">
        <v>164402.9</v>
      </c>
      <c r="F36" s="3">
        <v>276166.59999999998</v>
      </c>
      <c r="G36" s="3">
        <v>389654</v>
      </c>
      <c r="H36" s="3">
        <v>462850</v>
      </c>
      <c r="I36" s="3">
        <v>411235.6</v>
      </c>
      <c r="J36" s="3">
        <f t="shared" si="3"/>
        <v>2042511.7000000002</v>
      </c>
    </row>
    <row r="37" spans="2:10" x14ac:dyDescent="0.2">
      <c r="B37" s="3">
        <v>5</v>
      </c>
      <c r="C37" s="3">
        <v>69037.289999999994</v>
      </c>
      <c r="D37" s="3">
        <v>32691.46</v>
      </c>
      <c r="E37" s="3">
        <v>35416.410000000003</v>
      </c>
      <c r="F37" s="3">
        <v>87909.03</v>
      </c>
      <c r="G37" s="3">
        <v>80047.61</v>
      </c>
      <c r="H37" s="3">
        <v>204697.8</v>
      </c>
      <c r="I37" s="3">
        <v>138379.4</v>
      </c>
      <c r="J37" s="3">
        <f t="shared" si="3"/>
        <v>648179</v>
      </c>
    </row>
    <row r="38" spans="2:10" x14ac:dyDescent="0.2">
      <c r="B38" s="3">
        <v>6</v>
      </c>
      <c r="C38" s="3">
        <v>24173.32</v>
      </c>
      <c r="D38" s="3">
        <v>36186.32</v>
      </c>
      <c r="E38" s="3">
        <v>15040.29</v>
      </c>
      <c r="F38" s="3">
        <v>19575.07</v>
      </c>
      <c r="G38" s="3">
        <v>35857.949999999997</v>
      </c>
      <c r="H38" s="3">
        <v>61152.95</v>
      </c>
      <c r="I38" s="3">
        <v>137259.70000000001</v>
      </c>
      <c r="J38" s="3">
        <f t="shared" si="3"/>
        <v>329245.59999999998</v>
      </c>
    </row>
    <row r="39" spans="2:10" x14ac:dyDescent="0.2">
      <c r="B39" s="3">
        <v>7</v>
      </c>
      <c r="C39" s="3">
        <v>0</v>
      </c>
      <c r="D39" s="3">
        <v>35.311349999999997</v>
      </c>
      <c r="E39" s="3">
        <v>0</v>
      </c>
      <c r="F39" s="3">
        <v>258.53399999999999</v>
      </c>
      <c r="G39" s="3">
        <v>18012</v>
      </c>
      <c r="H39" s="3">
        <v>35180.550000000003</v>
      </c>
      <c r="I39" s="3">
        <v>23719.31</v>
      </c>
      <c r="J39" s="3">
        <f t="shared" si="3"/>
        <v>77205.705350000004</v>
      </c>
    </row>
    <row r="40" spans="2:10" x14ac:dyDescent="0.2">
      <c r="B40" s="3">
        <v>8</v>
      </c>
      <c r="C40" s="3">
        <v>315.12909999999999</v>
      </c>
      <c r="D40" s="3">
        <v>0</v>
      </c>
      <c r="E40" s="3">
        <v>2056.7429999999999</v>
      </c>
      <c r="F40" s="3">
        <v>208.1174</v>
      </c>
      <c r="G40" s="3">
        <v>13326.37</v>
      </c>
      <c r="H40" s="3">
        <v>16721.310000000001</v>
      </c>
      <c r="I40" s="3">
        <v>24637.05</v>
      </c>
      <c r="J40" s="3">
        <f t="shared" si="3"/>
        <v>57264.719500000007</v>
      </c>
    </row>
    <row r="41" spans="2:10" x14ac:dyDescent="0.2">
      <c r="B41" s="3">
        <v>9</v>
      </c>
      <c r="C41" s="3">
        <v>0</v>
      </c>
      <c r="D41" s="3">
        <v>0</v>
      </c>
      <c r="E41" s="3">
        <v>0</v>
      </c>
      <c r="F41" s="3">
        <v>35.311349999999997</v>
      </c>
      <c r="G41" s="3">
        <v>541.55060000000003</v>
      </c>
      <c r="H41" s="3">
        <v>8140.3509999999997</v>
      </c>
      <c r="I41" s="3">
        <v>1552.097</v>
      </c>
      <c r="J41" s="3">
        <f t="shared" si="3"/>
        <v>10269.309949999999</v>
      </c>
    </row>
    <row r="42" spans="2:10" x14ac:dyDescent="0.2">
      <c r="B42" s="3">
        <v>10</v>
      </c>
      <c r="C42" s="3">
        <v>0</v>
      </c>
      <c r="D42" s="3">
        <v>611.17290000000003</v>
      </c>
      <c r="E42" s="3">
        <v>0</v>
      </c>
      <c r="F42" s="3">
        <v>5814.0950000000003</v>
      </c>
      <c r="G42" s="3">
        <v>4413.3010000000004</v>
      </c>
      <c r="H42" s="3">
        <v>15545.38</v>
      </c>
      <c r="I42" s="3">
        <v>63495.28</v>
      </c>
      <c r="J42" s="3">
        <f t="shared" si="3"/>
        <v>89879.228900000002</v>
      </c>
    </row>
    <row r="43" spans="2:10" x14ac:dyDescent="0.2">
      <c r="B43" s="3">
        <v>11</v>
      </c>
      <c r="C43" s="3">
        <v>0</v>
      </c>
      <c r="D43" s="3">
        <v>544.76130000000001</v>
      </c>
      <c r="E43" s="3">
        <v>0</v>
      </c>
      <c r="F43" s="3">
        <v>45402.64</v>
      </c>
      <c r="G43" s="3">
        <v>1608.538</v>
      </c>
      <c r="H43" s="3">
        <v>0</v>
      </c>
      <c r="I43" s="3">
        <v>11972.53</v>
      </c>
      <c r="J43" s="3">
        <f t="shared" si="3"/>
        <v>59528.469299999997</v>
      </c>
    </row>
    <row r="44" spans="2:10" x14ac:dyDescent="0.2">
      <c r="B44" s="3">
        <v>12</v>
      </c>
      <c r="C44" s="3">
        <v>548.53610000000003</v>
      </c>
      <c r="D44" s="3">
        <v>0</v>
      </c>
      <c r="E44" s="3">
        <v>2692.7249999999999</v>
      </c>
      <c r="F44" s="3">
        <v>0</v>
      </c>
      <c r="G44" s="3">
        <v>4295.8789999999999</v>
      </c>
      <c r="H44" s="3">
        <v>20271.330000000002</v>
      </c>
      <c r="I44" s="3">
        <v>10379.44</v>
      </c>
      <c r="J44" s="3">
        <f t="shared" si="3"/>
        <v>38187.910100000001</v>
      </c>
    </row>
    <row r="45" spans="2:10" x14ac:dyDescent="0.2">
      <c r="B45" s="3">
        <v>13</v>
      </c>
      <c r="C45" s="3">
        <v>0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f t="shared" si="3"/>
        <v>0</v>
      </c>
    </row>
    <row r="46" spans="2:10" x14ac:dyDescent="0.2">
      <c r="B46" s="3">
        <v>15</v>
      </c>
      <c r="C46" s="3">
        <v>0</v>
      </c>
      <c r="D46" s="3">
        <v>0</v>
      </c>
      <c r="E46" s="3">
        <v>0</v>
      </c>
      <c r="F46" s="3">
        <v>0</v>
      </c>
      <c r="G46" s="3">
        <v>2013.36</v>
      </c>
      <c r="H46" s="3">
        <v>0</v>
      </c>
      <c r="I46" s="3">
        <v>1621.4949999999999</v>
      </c>
      <c r="J46" s="3">
        <f t="shared" si="3"/>
        <v>3634.8549999999996</v>
      </c>
    </row>
    <row r="47" spans="2:10" x14ac:dyDescent="0.2">
      <c r="B47" s="3">
        <v>20</v>
      </c>
      <c r="C47" s="3">
        <v>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718.59839999999997</v>
      </c>
      <c r="J47" s="3">
        <f t="shared" si="3"/>
        <v>718.59839999999997</v>
      </c>
    </row>
    <row r="48" spans="2:10" x14ac:dyDescent="0.2">
      <c r="B48" s="3">
        <v>24</v>
      </c>
      <c r="C48" s="3">
        <v>0</v>
      </c>
      <c r="D48" s="3">
        <v>0</v>
      </c>
      <c r="E48" s="3">
        <v>0</v>
      </c>
      <c r="F48" s="3">
        <v>0</v>
      </c>
      <c r="G48" s="3">
        <v>0</v>
      </c>
      <c r="H48" s="3">
        <v>0</v>
      </c>
      <c r="I48" s="3">
        <v>0</v>
      </c>
      <c r="J48" s="3">
        <f t="shared" si="3"/>
        <v>0</v>
      </c>
    </row>
    <row r="49" spans="1:10" x14ac:dyDescent="0.2">
      <c r="C49" s="3">
        <f t="shared" ref="C49:I49" si="4">SUMPRODUCT($B$32:$B$48,C32:C48)</f>
        <v>12553667.335999999</v>
      </c>
      <c r="D49" s="3">
        <f t="shared" si="4"/>
        <v>13139051.302750001</v>
      </c>
      <c r="E49" s="3">
        <f t="shared" si="4"/>
        <v>12537017.434</v>
      </c>
      <c r="F49" s="3">
        <f t="shared" si="4"/>
        <v>12652464.43935</v>
      </c>
      <c r="G49" s="3">
        <f t="shared" si="4"/>
        <v>12662826.7414</v>
      </c>
      <c r="H49" s="3">
        <f t="shared" si="4"/>
        <v>13279571.449000001</v>
      </c>
      <c r="I49" s="3">
        <f t="shared" si="4"/>
        <v>12047349.146000002</v>
      </c>
      <c r="J49" s="3">
        <f>SUM(C49:I49)</f>
        <v>88871947.848499998</v>
      </c>
    </row>
    <row r="50" spans="1:10" s="10" customFormat="1" x14ac:dyDescent="0.2">
      <c r="C50" s="11"/>
      <c r="D50" s="11"/>
      <c r="E50" s="11"/>
      <c r="F50" s="11"/>
      <c r="J50" s="11"/>
    </row>
    <row r="51" spans="1:10" x14ac:dyDescent="0.2">
      <c r="B51" t="s">
        <v>16</v>
      </c>
      <c r="C51" t="s">
        <v>3</v>
      </c>
      <c r="D51">
        <v>2</v>
      </c>
    </row>
    <row r="53" spans="1:10" x14ac:dyDescent="0.2">
      <c r="B53" t="s">
        <v>7</v>
      </c>
    </row>
    <row r="54" spans="1:10" x14ac:dyDescent="0.2">
      <c r="A54" t="s">
        <v>35</v>
      </c>
      <c r="C54" s="3" t="s">
        <v>8</v>
      </c>
      <c r="D54" s="3" t="s">
        <v>9</v>
      </c>
      <c r="E54" s="3" t="s">
        <v>10</v>
      </c>
      <c r="F54" s="3" t="s">
        <v>11</v>
      </c>
      <c r="G54" s="3" t="s">
        <v>12</v>
      </c>
      <c r="H54" s="3" t="s">
        <v>13</v>
      </c>
      <c r="I54" s="3" t="s">
        <v>14</v>
      </c>
      <c r="J54" s="3" t="s">
        <v>28</v>
      </c>
    </row>
    <row r="55" spans="1:10" x14ac:dyDescent="0.2">
      <c r="B55" s="3">
        <v>0</v>
      </c>
      <c r="C55" s="3">
        <v>51357.63</v>
      </c>
      <c r="D55" s="3">
        <v>111695.5</v>
      </c>
      <c r="E55" s="3">
        <v>33927.39</v>
      </c>
      <c r="F55" s="3">
        <v>65699.88</v>
      </c>
      <c r="G55" s="3">
        <v>21554.05</v>
      </c>
      <c r="H55" s="3">
        <v>23137.47</v>
      </c>
      <c r="I55" s="3">
        <v>59581.72</v>
      </c>
      <c r="J55" s="3">
        <f>SUM(C55:I55)</f>
        <v>366953.64</v>
      </c>
    </row>
    <row r="56" spans="1:10" x14ac:dyDescent="0.2">
      <c r="B56" s="3">
        <v>1</v>
      </c>
      <c r="C56" s="3">
        <v>245467.8</v>
      </c>
      <c r="D56" s="3">
        <v>232909.1</v>
      </c>
      <c r="E56" s="3">
        <v>208615</v>
      </c>
      <c r="F56" s="3">
        <v>129662.8</v>
      </c>
      <c r="G56" s="3">
        <v>102061</v>
      </c>
      <c r="H56" s="3">
        <v>84460.08</v>
      </c>
      <c r="I56" s="3">
        <v>40136.17</v>
      </c>
      <c r="J56" s="3">
        <f t="shared" ref="J56:J71" si="5">SUM(C56:I56)</f>
        <v>1043311.9500000001</v>
      </c>
    </row>
    <row r="57" spans="1:10" x14ac:dyDescent="0.2">
      <c r="B57" s="3">
        <v>2</v>
      </c>
      <c r="C57" s="3">
        <v>956446.6</v>
      </c>
      <c r="D57" s="3">
        <v>850236.9</v>
      </c>
      <c r="E57" s="3">
        <v>684556.6</v>
      </c>
      <c r="F57" s="3">
        <v>591388.80000000005</v>
      </c>
      <c r="G57" s="3">
        <v>473646.2</v>
      </c>
      <c r="H57" s="3">
        <v>498128.8</v>
      </c>
      <c r="I57" s="3">
        <v>309879.09999999998</v>
      </c>
      <c r="J57" s="3">
        <f t="shared" si="5"/>
        <v>4364283</v>
      </c>
    </row>
    <row r="58" spans="1:10" x14ac:dyDescent="0.2">
      <c r="B58" s="3">
        <v>3</v>
      </c>
      <c r="C58" s="3">
        <v>195050.1</v>
      </c>
      <c r="D58" s="3">
        <v>251003.6</v>
      </c>
      <c r="E58" s="3">
        <v>233601.2</v>
      </c>
      <c r="F58" s="3">
        <v>208937.4</v>
      </c>
      <c r="G58" s="3">
        <v>241568.4</v>
      </c>
      <c r="H58" s="3">
        <v>283209.2</v>
      </c>
      <c r="I58" s="3">
        <v>175910.8</v>
      </c>
      <c r="J58" s="3">
        <f t="shared" si="5"/>
        <v>1589280.7</v>
      </c>
    </row>
    <row r="59" spans="1:10" x14ac:dyDescent="0.2">
      <c r="B59" s="3">
        <v>4</v>
      </c>
      <c r="C59" s="3">
        <v>56861.32</v>
      </c>
      <c r="D59" s="3">
        <v>21261.94</v>
      </c>
      <c r="E59" s="3">
        <v>66445.850000000006</v>
      </c>
      <c r="F59" s="3">
        <v>54857.56</v>
      </c>
      <c r="G59" s="3">
        <v>130242.5</v>
      </c>
      <c r="H59" s="3">
        <v>133669.1</v>
      </c>
      <c r="I59" s="3">
        <v>118013.2</v>
      </c>
      <c r="J59" s="3">
        <f t="shared" si="5"/>
        <v>581351.47</v>
      </c>
    </row>
    <row r="60" spans="1:10" x14ac:dyDescent="0.2">
      <c r="B60" s="3">
        <v>5</v>
      </c>
      <c r="C60" s="3">
        <v>6792.1030000000001</v>
      </c>
      <c r="D60" s="3">
        <v>11866.55</v>
      </c>
      <c r="E60" s="3">
        <v>13411.51</v>
      </c>
      <c r="F60" s="3">
        <v>33551.85</v>
      </c>
      <c r="G60" s="3">
        <v>30774.48</v>
      </c>
      <c r="H60" s="3">
        <v>38286.25</v>
      </c>
      <c r="I60" s="3">
        <v>60351.31</v>
      </c>
      <c r="J60" s="3">
        <f t="shared" si="5"/>
        <v>195034.05300000001</v>
      </c>
    </row>
    <row r="61" spans="1:10" x14ac:dyDescent="0.2">
      <c r="B61" s="3">
        <v>6</v>
      </c>
      <c r="C61" s="3">
        <v>0</v>
      </c>
      <c r="D61" s="3">
        <v>3317.21</v>
      </c>
      <c r="E61" s="3">
        <v>5753.9690000000001</v>
      </c>
      <c r="F61" s="3">
        <v>9811.4279999999999</v>
      </c>
      <c r="G61" s="3">
        <v>23433.58</v>
      </c>
      <c r="H61" s="3">
        <v>48112.92</v>
      </c>
      <c r="I61" s="3">
        <v>34170.629999999997</v>
      </c>
      <c r="J61" s="3">
        <f t="shared" si="5"/>
        <v>124599.73699999999</v>
      </c>
    </row>
    <row r="62" spans="1:10" x14ac:dyDescent="0.2">
      <c r="B62" s="3">
        <v>7</v>
      </c>
      <c r="C62" s="3">
        <v>0</v>
      </c>
      <c r="D62" s="3">
        <v>1528.3969999999999</v>
      </c>
      <c r="E62" s="3">
        <v>144.3586</v>
      </c>
      <c r="F62" s="3">
        <v>978.42949999999996</v>
      </c>
      <c r="G62" s="3">
        <v>6478.0550000000003</v>
      </c>
      <c r="H62" s="3">
        <v>4208.2730000000001</v>
      </c>
      <c r="I62" s="3">
        <v>6591.7250000000004</v>
      </c>
      <c r="J62" s="3">
        <f t="shared" si="5"/>
        <v>19929.238100000002</v>
      </c>
    </row>
    <row r="63" spans="1:10" x14ac:dyDescent="0.2">
      <c r="B63" s="3">
        <v>8</v>
      </c>
      <c r="C63" s="3">
        <v>1610.7919999999999</v>
      </c>
      <c r="D63" s="3">
        <v>1482.491</v>
      </c>
      <c r="E63" s="3">
        <v>0</v>
      </c>
      <c r="F63" s="3">
        <v>988.68010000000004</v>
      </c>
      <c r="G63" s="3">
        <v>11975.42</v>
      </c>
      <c r="H63" s="3">
        <v>17841.259999999998</v>
      </c>
      <c r="I63" s="3">
        <v>17201.810000000001</v>
      </c>
      <c r="J63" s="3">
        <f t="shared" si="5"/>
        <v>51100.453099999999</v>
      </c>
    </row>
    <row r="64" spans="1:10" x14ac:dyDescent="0.2">
      <c r="B64" s="3">
        <v>9</v>
      </c>
      <c r="C64" s="3">
        <v>0</v>
      </c>
      <c r="D64" s="3">
        <v>0</v>
      </c>
      <c r="E64" s="3">
        <v>0</v>
      </c>
      <c r="F64" s="3">
        <v>0</v>
      </c>
      <c r="G64" s="3">
        <v>985.22040000000004</v>
      </c>
      <c r="H64" s="3">
        <v>2361.1799999999998</v>
      </c>
      <c r="I64" s="3">
        <v>732.77660000000003</v>
      </c>
      <c r="J64" s="3">
        <f t="shared" si="5"/>
        <v>4079.1770000000001</v>
      </c>
    </row>
    <row r="65" spans="1:10" x14ac:dyDescent="0.2">
      <c r="B65" s="3">
        <v>10</v>
      </c>
      <c r="C65" s="3">
        <v>0</v>
      </c>
      <c r="D65" s="3">
        <v>0</v>
      </c>
      <c r="E65" s="3">
        <v>4592.5039999999999</v>
      </c>
      <c r="F65" s="3">
        <v>1497.5530000000001</v>
      </c>
      <c r="G65" s="3">
        <v>7717.3779999999997</v>
      </c>
      <c r="H65" s="3">
        <v>6511.78</v>
      </c>
      <c r="I65" s="3">
        <v>12523.43</v>
      </c>
      <c r="J65" s="3">
        <f t="shared" si="5"/>
        <v>32842.645000000004</v>
      </c>
    </row>
    <row r="66" spans="1:10" x14ac:dyDescent="0.2">
      <c r="B66" s="3">
        <v>11</v>
      </c>
      <c r="C66" s="3">
        <v>0</v>
      </c>
      <c r="D66" s="3">
        <v>0</v>
      </c>
      <c r="E66" s="3">
        <v>0</v>
      </c>
      <c r="F66" s="3">
        <v>0</v>
      </c>
      <c r="G66" s="3">
        <v>163.01220000000001</v>
      </c>
      <c r="H66" s="3">
        <v>164.31569999999999</v>
      </c>
      <c r="I66" s="3">
        <v>296.32170000000002</v>
      </c>
      <c r="J66" s="3">
        <f t="shared" si="5"/>
        <v>623.64959999999996</v>
      </c>
    </row>
    <row r="67" spans="1:10" x14ac:dyDescent="0.2">
      <c r="B67" s="3">
        <v>12</v>
      </c>
      <c r="C67" s="3">
        <v>0</v>
      </c>
      <c r="D67" s="3">
        <v>0</v>
      </c>
      <c r="E67" s="3">
        <v>98.559449999999998</v>
      </c>
      <c r="F67" s="3">
        <v>1132.6099999999999</v>
      </c>
      <c r="G67" s="3">
        <v>4196.8029999999999</v>
      </c>
      <c r="H67" s="3">
        <v>0</v>
      </c>
      <c r="I67" s="3">
        <v>6467.7740000000003</v>
      </c>
      <c r="J67" s="3">
        <f t="shared" si="5"/>
        <v>11895.746449999999</v>
      </c>
    </row>
    <row r="68" spans="1:10" x14ac:dyDescent="0.2">
      <c r="B68" s="3">
        <v>13</v>
      </c>
      <c r="C68" s="3">
        <v>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129.91239999999999</v>
      </c>
      <c r="J68" s="3">
        <f t="shared" si="5"/>
        <v>129.91239999999999</v>
      </c>
    </row>
    <row r="69" spans="1:10" x14ac:dyDescent="0.2">
      <c r="B69" s="3">
        <v>15</v>
      </c>
      <c r="C69" s="3">
        <v>0</v>
      </c>
      <c r="D69" s="3">
        <v>0</v>
      </c>
      <c r="E69" s="3">
        <v>0</v>
      </c>
      <c r="F69" s="3">
        <v>0</v>
      </c>
      <c r="G69" s="3">
        <v>899.8587</v>
      </c>
      <c r="H69" s="3">
        <v>0</v>
      </c>
      <c r="I69" s="3">
        <v>756.8664</v>
      </c>
      <c r="J69" s="3">
        <f t="shared" si="5"/>
        <v>1656.7251000000001</v>
      </c>
    </row>
    <row r="70" spans="1:10" x14ac:dyDescent="0.2">
      <c r="B70" s="3">
        <v>20</v>
      </c>
      <c r="C70" s="3">
        <v>0</v>
      </c>
      <c r="D70" s="3">
        <v>0</v>
      </c>
      <c r="E70" s="3">
        <v>0</v>
      </c>
      <c r="F70" s="3">
        <v>0</v>
      </c>
      <c r="G70" s="3">
        <v>0</v>
      </c>
      <c r="H70" s="3">
        <v>944.73090000000002</v>
      </c>
      <c r="I70" s="3">
        <v>0</v>
      </c>
      <c r="J70" s="3">
        <f t="shared" si="5"/>
        <v>944.73090000000002</v>
      </c>
    </row>
    <row r="71" spans="1:10" x14ac:dyDescent="0.2">
      <c r="B71" s="3">
        <v>24</v>
      </c>
      <c r="C71" s="3">
        <v>0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642.32410000000004</v>
      </c>
      <c r="J71" s="3">
        <f t="shared" si="5"/>
        <v>642.32410000000004</v>
      </c>
    </row>
    <row r="72" spans="1:10" x14ac:dyDescent="0.2">
      <c r="C72" s="3">
        <f t="shared" ref="C72:I72" si="6">SUMPRODUCT($B$55:$B$71,C55:C71)</f>
        <v>3017803.4309999999</v>
      </c>
      <c r="D72" s="3">
        <f t="shared" si="6"/>
        <v>2873236.1769999997</v>
      </c>
      <c r="E72" s="3">
        <f t="shared" si="6"/>
        <v>2694014.827599999</v>
      </c>
      <c r="F72" s="3">
        <f t="shared" si="6"/>
        <v>2428635.9552999996</v>
      </c>
      <c r="G72" s="3">
        <f t="shared" si="6"/>
        <v>2882345.639299999</v>
      </c>
      <c r="H72" s="3">
        <f t="shared" si="6"/>
        <v>3224388.9516999996</v>
      </c>
      <c r="I72" s="3">
        <f t="shared" si="6"/>
        <v>2591376.2067</v>
      </c>
      <c r="J72" s="3">
        <f>SUM(C72:I72)</f>
        <v>19711801.188599996</v>
      </c>
    </row>
    <row r="73" spans="1:10" s="10" customFormat="1" x14ac:dyDescent="0.2">
      <c r="A73" s="10" t="s">
        <v>0</v>
      </c>
    </row>
    <row r="74" spans="1:10" x14ac:dyDescent="0.2">
      <c r="A74" t="s">
        <v>0</v>
      </c>
      <c r="B74" t="s">
        <v>36</v>
      </c>
      <c r="C74" t="s">
        <v>40</v>
      </c>
    </row>
    <row r="75" spans="1:10" x14ac:dyDescent="0.2">
      <c r="A75" t="s">
        <v>0</v>
      </c>
      <c r="B75" t="s">
        <v>41</v>
      </c>
      <c r="C75" t="s">
        <v>2</v>
      </c>
      <c r="D75" t="s">
        <v>3</v>
      </c>
      <c r="E75" t="s">
        <v>4</v>
      </c>
    </row>
    <row r="76" spans="1:10" x14ac:dyDescent="0.2">
      <c r="B76" t="s">
        <v>18</v>
      </c>
      <c r="C76" t="s">
        <v>3</v>
      </c>
      <c r="D76">
        <v>1</v>
      </c>
    </row>
    <row r="78" spans="1:10" x14ac:dyDescent="0.2">
      <c r="B78" s="3" t="s">
        <v>7</v>
      </c>
      <c r="C78" s="3"/>
      <c r="D78" s="3"/>
      <c r="E78" s="3"/>
      <c r="F78" s="3"/>
      <c r="G78" s="3"/>
      <c r="H78" s="3"/>
      <c r="I78" s="3"/>
    </row>
    <row r="79" spans="1:10" x14ac:dyDescent="0.2">
      <c r="A79" t="s">
        <v>35</v>
      </c>
      <c r="C79" s="3" t="s">
        <v>8</v>
      </c>
      <c r="D79" s="3" t="s">
        <v>9</v>
      </c>
      <c r="E79" s="3" t="s">
        <v>10</v>
      </c>
      <c r="F79" s="3" t="s">
        <v>11</v>
      </c>
      <c r="G79" s="3" t="s">
        <v>12</v>
      </c>
      <c r="H79" s="3" t="s">
        <v>13</v>
      </c>
      <c r="I79" s="3" t="s">
        <v>14</v>
      </c>
      <c r="J79" s="3" t="s">
        <v>28</v>
      </c>
    </row>
    <row r="80" spans="1:10" x14ac:dyDescent="0.2">
      <c r="B80" s="3">
        <v>0</v>
      </c>
      <c r="C80" s="3">
        <v>55244.800000000003</v>
      </c>
      <c r="D80" s="3">
        <v>38329.53</v>
      </c>
      <c r="E80" s="3">
        <v>46017.55</v>
      </c>
      <c r="F80" s="3">
        <v>37828.6</v>
      </c>
      <c r="G80" s="3">
        <v>32631.29</v>
      </c>
      <c r="H80" s="3">
        <v>32653.08</v>
      </c>
      <c r="I80" s="3">
        <v>14879.94</v>
      </c>
      <c r="J80" s="3">
        <f>SUM(C80:I80)</f>
        <v>257584.79000000004</v>
      </c>
    </row>
    <row r="81" spans="2:10" x14ac:dyDescent="0.2">
      <c r="B81" s="3">
        <v>1</v>
      </c>
      <c r="C81" s="3">
        <v>99402.74</v>
      </c>
      <c r="D81" s="3">
        <v>111225.60000000001</v>
      </c>
      <c r="E81" s="3">
        <v>122463.5</v>
      </c>
      <c r="F81" s="3">
        <v>96786.17</v>
      </c>
      <c r="G81" s="3">
        <v>50152.18</v>
      </c>
      <c r="H81" s="3">
        <v>40397.589999999997</v>
      </c>
      <c r="I81" s="3">
        <v>40721.379999999997</v>
      </c>
      <c r="J81" s="3">
        <f t="shared" ref="J81:J96" si="7">SUM(C81:I81)</f>
        <v>561149.16</v>
      </c>
    </row>
    <row r="82" spans="2:10" x14ac:dyDescent="0.2">
      <c r="B82" s="3">
        <v>2</v>
      </c>
      <c r="C82" s="3">
        <v>432027.2</v>
      </c>
      <c r="D82" s="3">
        <v>444833.6</v>
      </c>
      <c r="E82" s="3">
        <v>301326.40000000002</v>
      </c>
      <c r="F82" s="3">
        <v>250183.9</v>
      </c>
      <c r="G82" s="3">
        <v>212069.4</v>
      </c>
      <c r="H82" s="3">
        <v>179711.5</v>
      </c>
      <c r="I82" s="3">
        <v>78229.25</v>
      </c>
      <c r="J82" s="3">
        <f t="shared" si="7"/>
        <v>1898381.25</v>
      </c>
    </row>
    <row r="83" spans="2:10" x14ac:dyDescent="0.2">
      <c r="B83" s="3">
        <v>3</v>
      </c>
      <c r="C83" s="3">
        <v>114372</v>
      </c>
      <c r="D83" s="3">
        <v>88804.97</v>
      </c>
      <c r="E83" s="3">
        <v>117410.5</v>
      </c>
      <c r="F83" s="3">
        <v>127346.2</v>
      </c>
      <c r="G83" s="3">
        <v>103853.8</v>
      </c>
      <c r="H83" s="3">
        <v>84336.47</v>
      </c>
      <c r="I83" s="3">
        <v>56612.66</v>
      </c>
      <c r="J83" s="3">
        <f t="shared" si="7"/>
        <v>692736.6</v>
      </c>
    </row>
    <row r="84" spans="2:10" x14ac:dyDescent="0.2">
      <c r="B84" s="3">
        <v>4</v>
      </c>
      <c r="C84" s="3">
        <v>33689.49</v>
      </c>
      <c r="D84" s="3">
        <v>24343.46</v>
      </c>
      <c r="E84" s="3">
        <v>38637.230000000003</v>
      </c>
      <c r="F84" s="3">
        <v>44408.47</v>
      </c>
      <c r="G84" s="3">
        <v>40289.839999999997</v>
      </c>
      <c r="H84" s="3">
        <v>35575.47</v>
      </c>
      <c r="I84" s="3">
        <v>33484.239999999998</v>
      </c>
      <c r="J84" s="3">
        <f t="shared" si="7"/>
        <v>250428.19999999998</v>
      </c>
    </row>
    <row r="85" spans="2:10" x14ac:dyDescent="0.2">
      <c r="B85" s="3">
        <v>5</v>
      </c>
      <c r="C85" s="3">
        <v>10351.299999999999</v>
      </c>
      <c r="D85" s="3">
        <v>5444.0749999999998</v>
      </c>
      <c r="E85" s="3">
        <v>5869.7070000000003</v>
      </c>
      <c r="F85" s="3">
        <v>26250.09</v>
      </c>
      <c r="G85" s="3">
        <v>20470.95</v>
      </c>
      <c r="H85" s="3">
        <v>9031.9069999999992</v>
      </c>
      <c r="I85" s="3">
        <v>22334.46</v>
      </c>
      <c r="J85" s="3">
        <f t="shared" si="7"/>
        <v>99752.489000000001</v>
      </c>
    </row>
    <row r="86" spans="2:10" x14ac:dyDescent="0.2">
      <c r="B86" s="3">
        <v>6</v>
      </c>
      <c r="C86" s="3">
        <v>102.94459999999999</v>
      </c>
      <c r="D86" s="3">
        <v>3546.7139999999999</v>
      </c>
      <c r="E86" s="3">
        <v>3697.1280000000002</v>
      </c>
      <c r="F86" s="3">
        <v>5658.5450000000001</v>
      </c>
      <c r="G86" s="3">
        <v>13625.14</v>
      </c>
      <c r="H86" s="3">
        <v>8900.0570000000007</v>
      </c>
      <c r="I86" s="3">
        <v>15827.68</v>
      </c>
      <c r="J86" s="3">
        <f t="shared" si="7"/>
        <v>51358.208599999998</v>
      </c>
    </row>
    <row r="87" spans="2:10" x14ac:dyDescent="0.2">
      <c r="B87" s="3">
        <v>7</v>
      </c>
      <c r="C87" s="3">
        <v>0</v>
      </c>
      <c r="D87" s="3">
        <v>1528.3969999999999</v>
      </c>
      <c r="E87" s="3">
        <v>144.3586</v>
      </c>
      <c r="F87" s="3">
        <v>1236.963</v>
      </c>
      <c r="G87" s="3">
        <v>912.14790000000005</v>
      </c>
      <c r="H87" s="3">
        <v>10315.129999999999</v>
      </c>
      <c r="I87" s="3">
        <v>1072.5340000000001</v>
      </c>
      <c r="J87" s="3">
        <f t="shared" si="7"/>
        <v>15209.530499999999</v>
      </c>
    </row>
    <row r="88" spans="2:10" x14ac:dyDescent="0.2">
      <c r="B88" s="3">
        <v>8</v>
      </c>
      <c r="C88" s="3">
        <v>0</v>
      </c>
      <c r="D88" s="3">
        <v>825.24779999999998</v>
      </c>
      <c r="E88" s="3">
        <v>0</v>
      </c>
      <c r="F88" s="3">
        <v>988.68010000000004</v>
      </c>
      <c r="G88" s="3">
        <v>0</v>
      </c>
      <c r="H88" s="3">
        <v>3782.009</v>
      </c>
      <c r="I88" s="3">
        <v>9234.2479999999996</v>
      </c>
      <c r="J88" s="3">
        <f t="shared" si="7"/>
        <v>14830.1849</v>
      </c>
    </row>
    <row r="89" spans="2:10" x14ac:dyDescent="0.2">
      <c r="B89" s="3">
        <v>9</v>
      </c>
      <c r="C89" s="3">
        <v>0</v>
      </c>
      <c r="D89" s="3">
        <v>0</v>
      </c>
      <c r="E89" s="3">
        <v>0</v>
      </c>
      <c r="F89" s="3">
        <v>0</v>
      </c>
      <c r="G89" s="3">
        <v>345.05399999999997</v>
      </c>
      <c r="H89" s="3">
        <v>2664.9009999999998</v>
      </c>
      <c r="I89" s="3">
        <v>732.77660000000003</v>
      </c>
      <c r="J89" s="3">
        <f t="shared" si="7"/>
        <v>3742.7316000000001</v>
      </c>
    </row>
    <row r="90" spans="2:10" x14ac:dyDescent="0.2">
      <c r="B90" s="3">
        <v>10</v>
      </c>
      <c r="C90" s="3">
        <v>0</v>
      </c>
      <c r="D90" s="3">
        <v>0</v>
      </c>
      <c r="E90" s="3">
        <v>0</v>
      </c>
      <c r="F90" s="3">
        <v>4003.9650000000001</v>
      </c>
      <c r="G90" s="3">
        <v>168.99590000000001</v>
      </c>
      <c r="H90" s="3">
        <v>528.7568</v>
      </c>
      <c r="I90" s="3">
        <v>2034.0419999999999</v>
      </c>
      <c r="J90" s="3">
        <f t="shared" si="7"/>
        <v>6735.7597000000005</v>
      </c>
    </row>
    <row r="91" spans="2:10" x14ac:dyDescent="0.2">
      <c r="B91" s="3">
        <v>11</v>
      </c>
      <c r="C91" s="3">
        <v>0</v>
      </c>
      <c r="D91" s="3">
        <v>0</v>
      </c>
      <c r="E91" s="3">
        <v>0</v>
      </c>
      <c r="F91" s="3">
        <v>0</v>
      </c>
      <c r="G91" s="3">
        <v>163.01220000000001</v>
      </c>
      <c r="H91" s="3">
        <v>0</v>
      </c>
      <c r="I91" s="3">
        <v>0</v>
      </c>
      <c r="J91" s="3">
        <f t="shared" si="7"/>
        <v>163.01220000000001</v>
      </c>
    </row>
    <row r="92" spans="2:10" x14ac:dyDescent="0.2">
      <c r="B92" s="3">
        <v>12</v>
      </c>
      <c r="C92" s="3">
        <v>548.53610000000003</v>
      </c>
      <c r="D92" s="3">
        <v>0</v>
      </c>
      <c r="E92" s="3">
        <v>0</v>
      </c>
      <c r="F92" s="3">
        <v>1132.6099999999999</v>
      </c>
      <c r="G92" s="3">
        <v>1086.8230000000001</v>
      </c>
      <c r="H92" s="3">
        <v>0</v>
      </c>
      <c r="I92" s="3">
        <v>3095.62</v>
      </c>
      <c r="J92" s="3">
        <f t="shared" si="7"/>
        <v>5863.5891000000001</v>
      </c>
    </row>
    <row r="93" spans="2:10" x14ac:dyDescent="0.2">
      <c r="B93" s="3">
        <v>13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f t="shared" si="7"/>
        <v>0</v>
      </c>
    </row>
    <row r="94" spans="2:10" x14ac:dyDescent="0.2">
      <c r="B94" s="3">
        <v>15</v>
      </c>
      <c r="C94" s="3">
        <v>0</v>
      </c>
      <c r="D94" s="3">
        <v>0</v>
      </c>
      <c r="E94" s="3">
        <v>0</v>
      </c>
      <c r="F94" s="3">
        <v>0</v>
      </c>
      <c r="G94" s="3">
        <v>899.8587</v>
      </c>
      <c r="H94" s="3">
        <v>0</v>
      </c>
      <c r="I94" s="3">
        <v>0</v>
      </c>
      <c r="J94" s="3">
        <f t="shared" si="7"/>
        <v>899.8587</v>
      </c>
    </row>
    <row r="95" spans="2:10" x14ac:dyDescent="0.2">
      <c r="B95" s="3">
        <v>20</v>
      </c>
      <c r="C95" s="3">
        <v>0</v>
      </c>
      <c r="D95" s="3">
        <v>0</v>
      </c>
      <c r="E95" s="3">
        <v>0</v>
      </c>
      <c r="F95" s="3">
        <v>0</v>
      </c>
      <c r="G95" s="3">
        <v>0</v>
      </c>
      <c r="H95" s="3">
        <v>0</v>
      </c>
      <c r="I95" s="3">
        <v>0</v>
      </c>
      <c r="J95" s="3">
        <f t="shared" si="7"/>
        <v>0</v>
      </c>
    </row>
    <row r="96" spans="2:10" x14ac:dyDescent="0.2">
      <c r="B96" s="3">
        <v>24</v>
      </c>
      <c r="C96" s="3">
        <v>0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642.32410000000004</v>
      </c>
      <c r="J96" s="3">
        <f t="shared" si="7"/>
        <v>642.32410000000004</v>
      </c>
    </row>
    <row r="97" spans="1:10" x14ac:dyDescent="0.2">
      <c r="C97" s="3">
        <f t="shared" ref="C97:J97" si="8">SUMPRODUCT($B$80:$B$96,C80:C96)</f>
        <v>1500287.7008000002</v>
      </c>
      <c r="D97" s="3">
        <f t="shared" si="8"/>
        <v>1430482.9704000002</v>
      </c>
      <c r="E97" s="3">
        <f t="shared" si="8"/>
        <v>1284438.5331999997</v>
      </c>
      <c r="F97" s="3">
        <f t="shared" si="8"/>
        <v>1392227.3217999998</v>
      </c>
      <c r="G97" s="3">
        <f t="shared" si="8"/>
        <v>1170630.7010000001</v>
      </c>
      <c r="H97" s="3">
        <f t="shared" si="8"/>
        <v>1025425.416</v>
      </c>
      <c r="I97" s="3">
        <f t="shared" si="8"/>
        <v>868473.54979999969</v>
      </c>
      <c r="J97" s="3">
        <f t="shared" si="8"/>
        <v>8671966.1929999981</v>
      </c>
    </row>
    <row r="98" spans="1:10" x14ac:dyDescent="0.2">
      <c r="B98" t="s">
        <v>18</v>
      </c>
      <c r="C98" t="s">
        <v>3</v>
      </c>
      <c r="D98">
        <v>2</v>
      </c>
    </row>
    <row r="100" spans="1:10" x14ac:dyDescent="0.2">
      <c r="B100" s="3" t="s">
        <v>7</v>
      </c>
      <c r="C100" s="3"/>
      <c r="D100" s="3"/>
      <c r="E100" s="3"/>
      <c r="F100" s="3"/>
      <c r="G100" s="3"/>
      <c r="H100" s="3"/>
      <c r="I100" s="3"/>
    </row>
    <row r="101" spans="1:10" x14ac:dyDescent="0.2">
      <c r="A101" t="s">
        <v>35</v>
      </c>
      <c r="B101" s="3" t="s">
        <v>8</v>
      </c>
      <c r="C101" s="3" t="s">
        <v>9</v>
      </c>
      <c r="D101" s="3" t="s">
        <v>10</v>
      </c>
      <c r="E101" s="3" t="s">
        <v>11</v>
      </c>
      <c r="F101" s="3" t="s">
        <v>12</v>
      </c>
      <c r="G101" s="3" t="s">
        <v>13</v>
      </c>
      <c r="H101" s="3" t="s">
        <v>14</v>
      </c>
      <c r="I101" s="3"/>
      <c r="J101" s="3" t="s">
        <v>28</v>
      </c>
    </row>
    <row r="102" spans="1:10" x14ac:dyDescent="0.2">
      <c r="B102" s="3">
        <v>0</v>
      </c>
      <c r="C102" s="3">
        <v>129596.4</v>
      </c>
      <c r="D102" s="3">
        <v>198646.8</v>
      </c>
      <c r="E102" s="3">
        <v>138882.5</v>
      </c>
      <c r="F102" s="3">
        <v>144896.20000000001</v>
      </c>
      <c r="G102" s="3">
        <v>153695</v>
      </c>
      <c r="H102" s="3">
        <v>136397.70000000001</v>
      </c>
      <c r="I102" s="3">
        <v>202957.4</v>
      </c>
      <c r="J102" s="3">
        <f>SUM(C102:I102)</f>
        <v>1105071.9999999998</v>
      </c>
    </row>
    <row r="103" spans="1:10" x14ac:dyDescent="0.2">
      <c r="B103" s="3">
        <v>1</v>
      </c>
      <c r="C103" s="3">
        <v>501554.1</v>
      </c>
      <c r="D103" s="3">
        <v>524494.80000000005</v>
      </c>
      <c r="E103" s="3">
        <v>480762.6</v>
      </c>
      <c r="F103" s="3">
        <v>338252.9</v>
      </c>
      <c r="G103" s="3">
        <v>239118.8</v>
      </c>
      <c r="H103" s="3">
        <v>208374.2</v>
      </c>
      <c r="I103" s="3">
        <v>187621.8</v>
      </c>
      <c r="J103" s="3">
        <f t="shared" ref="J103:J118" si="9">SUM(C103:I103)</f>
        <v>2480179.1999999997</v>
      </c>
    </row>
    <row r="104" spans="1:10" x14ac:dyDescent="0.2">
      <c r="B104" s="3">
        <v>2</v>
      </c>
      <c r="C104" s="3">
        <v>1420029</v>
      </c>
      <c r="D104" s="3">
        <v>1223359</v>
      </c>
      <c r="E104" s="3">
        <v>1146936</v>
      </c>
      <c r="F104" s="3">
        <v>865242.9</v>
      </c>
      <c r="G104" s="3">
        <v>842974.6</v>
      </c>
      <c r="H104" s="3">
        <v>632169.19999999995</v>
      </c>
      <c r="I104" s="3">
        <v>461248</v>
      </c>
      <c r="J104" s="3">
        <f t="shared" si="9"/>
        <v>6591958.7000000002</v>
      </c>
    </row>
    <row r="105" spans="1:10" x14ac:dyDescent="0.2">
      <c r="B105" s="3">
        <v>3</v>
      </c>
      <c r="C105" s="3">
        <v>346020.2</v>
      </c>
      <c r="D105" s="3">
        <v>306895.2</v>
      </c>
      <c r="E105" s="3">
        <v>319002.59999999998</v>
      </c>
      <c r="F105" s="3">
        <v>359554.3</v>
      </c>
      <c r="G105" s="3">
        <v>281839.09999999998</v>
      </c>
      <c r="H105" s="3">
        <v>237084.9</v>
      </c>
      <c r="I105" s="3">
        <v>228300.6</v>
      </c>
      <c r="J105" s="3">
        <f t="shared" si="9"/>
        <v>2078696.9</v>
      </c>
    </row>
    <row r="106" spans="1:10" x14ac:dyDescent="0.2">
      <c r="B106" s="3">
        <v>4</v>
      </c>
      <c r="C106" s="3">
        <v>100856.9</v>
      </c>
      <c r="D106" s="3">
        <v>88836.35</v>
      </c>
      <c r="E106" s="3">
        <v>104866.1</v>
      </c>
      <c r="F106" s="3">
        <v>92953.07</v>
      </c>
      <c r="G106" s="3">
        <v>189129.8</v>
      </c>
      <c r="H106" s="3">
        <v>155425.5</v>
      </c>
      <c r="I106" s="3">
        <v>127129</v>
      </c>
      <c r="J106" s="3">
        <f t="shared" si="9"/>
        <v>859196.72</v>
      </c>
    </row>
    <row r="107" spans="1:10" x14ac:dyDescent="0.2">
      <c r="B107" s="3">
        <v>5</v>
      </c>
      <c r="C107" s="3">
        <v>23342.78</v>
      </c>
      <c r="D107" s="3">
        <v>17675.73</v>
      </c>
      <c r="E107" s="3">
        <v>11392.3</v>
      </c>
      <c r="F107" s="3">
        <v>39095.85</v>
      </c>
      <c r="G107" s="3">
        <v>35805.089999999997</v>
      </c>
      <c r="H107" s="3">
        <v>67703.19</v>
      </c>
      <c r="I107" s="3">
        <v>66062.539999999994</v>
      </c>
      <c r="J107" s="3">
        <f t="shared" si="9"/>
        <v>261077.47999999998</v>
      </c>
    </row>
    <row r="108" spans="1:10" x14ac:dyDescent="0.2">
      <c r="B108" s="3">
        <v>6</v>
      </c>
      <c r="C108" s="3">
        <v>0</v>
      </c>
      <c r="D108" s="3">
        <v>10704.65</v>
      </c>
      <c r="E108" s="3">
        <v>8790.6949999999997</v>
      </c>
      <c r="F108" s="3">
        <v>12949.61</v>
      </c>
      <c r="G108" s="3">
        <v>15598.33</v>
      </c>
      <c r="H108" s="3">
        <v>55651.35</v>
      </c>
      <c r="I108" s="3">
        <v>58738.23</v>
      </c>
      <c r="J108" s="3">
        <f t="shared" si="9"/>
        <v>162432.86500000002</v>
      </c>
    </row>
    <row r="109" spans="1:10" x14ac:dyDescent="0.2">
      <c r="B109" s="3">
        <v>7</v>
      </c>
      <c r="C109" s="3">
        <v>0</v>
      </c>
      <c r="D109" s="3">
        <v>0</v>
      </c>
      <c r="E109" s="3">
        <v>0</v>
      </c>
      <c r="F109" s="3">
        <v>0</v>
      </c>
      <c r="G109" s="3">
        <v>3577.779</v>
      </c>
      <c r="H109" s="3">
        <v>3153.43</v>
      </c>
      <c r="I109" s="3">
        <v>18407.490000000002</v>
      </c>
      <c r="J109" s="3">
        <f t="shared" si="9"/>
        <v>25138.699000000001</v>
      </c>
    </row>
    <row r="110" spans="1:10" x14ac:dyDescent="0.2">
      <c r="B110" s="3">
        <v>8</v>
      </c>
      <c r="C110" s="3">
        <v>0</v>
      </c>
      <c r="D110" s="3">
        <v>0</v>
      </c>
      <c r="E110" s="3">
        <v>0</v>
      </c>
      <c r="F110" s="3">
        <v>0</v>
      </c>
      <c r="G110" s="3">
        <v>9566.491</v>
      </c>
      <c r="H110" s="3">
        <v>29809.37</v>
      </c>
      <c r="I110" s="3">
        <v>14986.97</v>
      </c>
      <c r="J110" s="3">
        <f t="shared" si="9"/>
        <v>54362.830999999998</v>
      </c>
    </row>
    <row r="111" spans="1:10" x14ac:dyDescent="0.2">
      <c r="B111" s="3">
        <v>9</v>
      </c>
      <c r="C111" s="3">
        <v>0</v>
      </c>
      <c r="D111" s="3">
        <v>0</v>
      </c>
      <c r="E111" s="3">
        <v>0</v>
      </c>
      <c r="F111" s="3">
        <v>0</v>
      </c>
      <c r="G111" s="3">
        <v>290.83010000000002</v>
      </c>
      <c r="H111" s="3">
        <v>6574.2060000000001</v>
      </c>
      <c r="I111" s="3">
        <v>0</v>
      </c>
      <c r="J111" s="3">
        <f t="shared" si="9"/>
        <v>6865.0361000000003</v>
      </c>
    </row>
    <row r="112" spans="1:10" x14ac:dyDescent="0.2">
      <c r="B112" s="3">
        <v>10</v>
      </c>
      <c r="C112" s="3">
        <v>0</v>
      </c>
      <c r="D112" s="3">
        <v>611.17290000000003</v>
      </c>
      <c r="E112" s="3">
        <v>3241.2240000000002</v>
      </c>
      <c r="F112" s="3">
        <v>1878.08</v>
      </c>
      <c r="G112" s="3">
        <v>7261.55</v>
      </c>
      <c r="H112" s="3">
        <v>14403.29</v>
      </c>
      <c r="I112" s="3">
        <v>14147.01</v>
      </c>
      <c r="J112" s="3">
        <f t="shared" si="9"/>
        <v>41542.3269</v>
      </c>
    </row>
    <row r="113" spans="1:10" x14ac:dyDescent="0.2">
      <c r="B113" s="3">
        <v>11</v>
      </c>
      <c r="C113" s="3">
        <v>0</v>
      </c>
      <c r="D113" s="3">
        <v>0</v>
      </c>
      <c r="E113" s="3">
        <v>0</v>
      </c>
      <c r="F113" s="3">
        <v>0</v>
      </c>
      <c r="G113" s="3">
        <v>0</v>
      </c>
      <c r="H113" s="3">
        <v>0</v>
      </c>
      <c r="I113" s="3">
        <v>296.32170000000002</v>
      </c>
      <c r="J113" s="3">
        <f t="shared" si="9"/>
        <v>296.32170000000002</v>
      </c>
    </row>
    <row r="114" spans="1:10" x14ac:dyDescent="0.2">
      <c r="B114" s="3">
        <v>12</v>
      </c>
      <c r="C114" s="3">
        <v>0</v>
      </c>
      <c r="D114" s="3">
        <v>0</v>
      </c>
      <c r="E114" s="3">
        <v>0</v>
      </c>
      <c r="F114" s="3">
        <v>0</v>
      </c>
      <c r="G114" s="3">
        <v>7405.8580000000002</v>
      </c>
      <c r="H114" s="3">
        <v>7042.6310000000003</v>
      </c>
      <c r="I114" s="3">
        <v>0</v>
      </c>
      <c r="J114" s="3">
        <f t="shared" si="9"/>
        <v>14448.489000000001</v>
      </c>
    </row>
    <row r="115" spans="1:10" x14ac:dyDescent="0.2">
      <c r="B115" s="3">
        <v>13</v>
      </c>
      <c r="C115" s="3">
        <v>0</v>
      </c>
      <c r="D115" s="3">
        <v>0</v>
      </c>
      <c r="E115" s="3">
        <v>0</v>
      </c>
      <c r="F115" s="3">
        <v>0</v>
      </c>
      <c r="G115" s="3">
        <v>0</v>
      </c>
      <c r="H115" s="3">
        <v>0</v>
      </c>
      <c r="I115" s="3">
        <v>0</v>
      </c>
      <c r="J115" s="3">
        <f t="shared" si="9"/>
        <v>0</v>
      </c>
    </row>
    <row r="116" spans="1:10" x14ac:dyDescent="0.2">
      <c r="B116" s="3">
        <v>15</v>
      </c>
      <c r="C116" s="3">
        <v>0</v>
      </c>
      <c r="D116" s="3">
        <v>0</v>
      </c>
      <c r="E116" s="3">
        <v>0</v>
      </c>
      <c r="F116" s="3">
        <v>0</v>
      </c>
      <c r="G116" s="3">
        <v>2013.36</v>
      </c>
      <c r="H116" s="3">
        <v>0</v>
      </c>
      <c r="I116" s="3">
        <v>0</v>
      </c>
      <c r="J116" s="3">
        <f t="shared" si="9"/>
        <v>2013.36</v>
      </c>
    </row>
    <row r="117" spans="1:10" x14ac:dyDescent="0.2">
      <c r="B117" s="3">
        <v>20</v>
      </c>
      <c r="C117" s="3">
        <v>0</v>
      </c>
      <c r="D117" s="3">
        <v>0</v>
      </c>
      <c r="E117" s="3">
        <v>0</v>
      </c>
      <c r="F117" s="3">
        <v>0</v>
      </c>
      <c r="G117" s="3">
        <v>0</v>
      </c>
      <c r="H117" s="3">
        <v>0</v>
      </c>
      <c r="I117" s="3">
        <v>0</v>
      </c>
      <c r="J117" s="3">
        <f t="shared" si="9"/>
        <v>0</v>
      </c>
    </row>
    <row r="118" spans="1:10" x14ac:dyDescent="0.2">
      <c r="B118" s="3">
        <v>24</v>
      </c>
      <c r="C118" s="3">
        <v>0</v>
      </c>
      <c r="D118" s="3">
        <v>0</v>
      </c>
      <c r="E118" s="3">
        <v>0</v>
      </c>
      <c r="F118" s="3">
        <v>0</v>
      </c>
      <c r="G118" s="3">
        <v>0</v>
      </c>
      <c r="H118" s="3">
        <v>0</v>
      </c>
      <c r="I118" s="3">
        <v>0</v>
      </c>
      <c r="J118" s="3">
        <f t="shared" si="9"/>
        <v>0</v>
      </c>
    </row>
    <row r="119" spans="1:10" x14ac:dyDescent="0.2">
      <c r="C119" s="3">
        <f t="shared" ref="C119:I119" si="10">SUMPRODUCT($B$102:$B$118,C102:C118)</f>
        <v>4899814.2</v>
      </c>
      <c r="D119" s="3">
        <f t="shared" si="10"/>
        <v>4405962.0790000008</v>
      </c>
      <c r="E119" s="3">
        <f t="shared" si="10"/>
        <v>4293224.71</v>
      </c>
      <c r="F119" s="3">
        <f t="shared" si="10"/>
        <v>3811171.59</v>
      </c>
      <c r="G119" s="3">
        <f t="shared" si="10"/>
        <v>4095599.9779000003</v>
      </c>
      <c r="H119" s="3">
        <f t="shared" si="10"/>
        <v>4026354.6459999997</v>
      </c>
      <c r="I119" s="3">
        <f t="shared" si="10"/>
        <v>3379755.5086999997</v>
      </c>
      <c r="J119" s="3">
        <f>SUMPRODUCT($B$80:$B$96,J102:J118)</f>
        <v>28911882.711599994</v>
      </c>
    </row>
    <row r="120" spans="1:10" x14ac:dyDescent="0.2">
      <c r="B120" t="s">
        <v>18</v>
      </c>
      <c r="C120" t="s">
        <v>3</v>
      </c>
      <c r="D120">
        <v>3</v>
      </c>
    </row>
    <row r="122" spans="1:10" x14ac:dyDescent="0.2">
      <c r="B122" t="s">
        <v>7</v>
      </c>
    </row>
    <row r="123" spans="1:10" x14ac:dyDescent="0.2">
      <c r="A123" t="s">
        <v>35</v>
      </c>
      <c r="B123" s="3" t="s">
        <v>8</v>
      </c>
      <c r="C123" s="3" t="s">
        <v>9</v>
      </c>
      <c r="D123" s="3" t="s">
        <v>10</v>
      </c>
      <c r="E123" s="3" t="s">
        <v>11</v>
      </c>
      <c r="F123" s="3" t="s">
        <v>12</v>
      </c>
      <c r="G123" s="3" t="s">
        <v>13</v>
      </c>
      <c r="H123" s="3" t="s">
        <v>14</v>
      </c>
      <c r="I123" s="3"/>
      <c r="J123" s="3" t="s">
        <v>28</v>
      </c>
    </row>
    <row r="124" spans="1:10" x14ac:dyDescent="0.2">
      <c r="B124" s="3">
        <v>0</v>
      </c>
      <c r="C124" s="3">
        <v>411833.4</v>
      </c>
      <c r="D124" s="3">
        <v>220950.39999999999</v>
      </c>
      <c r="E124" s="3">
        <v>177152.5</v>
      </c>
      <c r="F124" s="3">
        <v>235855.4</v>
      </c>
      <c r="G124" s="3">
        <v>232568.9</v>
      </c>
      <c r="H124" s="3">
        <v>130147.8</v>
      </c>
      <c r="I124" s="3">
        <v>153432.20000000001</v>
      </c>
      <c r="J124" s="3">
        <f>SUM(C124:I124)</f>
        <v>1561940.6</v>
      </c>
    </row>
    <row r="125" spans="1:10" x14ac:dyDescent="0.2">
      <c r="B125" s="3">
        <v>1</v>
      </c>
      <c r="C125" s="3">
        <v>658885.80000000005</v>
      </c>
      <c r="D125" s="3">
        <v>1095186</v>
      </c>
      <c r="E125" s="3">
        <v>782904.8</v>
      </c>
      <c r="F125" s="3">
        <v>609439.9</v>
      </c>
      <c r="G125" s="3">
        <v>538903.69999999995</v>
      </c>
      <c r="H125" s="3">
        <v>443894.3</v>
      </c>
      <c r="I125" s="3">
        <v>400138</v>
      </c>
      <c r="J125" s="3">
        <f t="shared" ref="J125:J140" si="11">SUM(C125:I125)</f>
        <v>4529352.5</v>
      </c>
    </row>
    <row r="126" spans="1:10" x14ac:dyDescent="0.2">
      <c r="B126" s="3">
        <v>2</v>
      </c>
      <c r="C126" s="3">
        <v>1759145</v>
      </c>
      <c r="D126" s="3">
        <v>1920717</v>
      </c>
      <c r="E126" s="3">
        <v>1831444</v>
      </c>
      <c r="F126" s="3">
        <v>1626278</v>
      </c>
      <c r="G126" s="3">
        <v>1639546</v>
      </c>
      <c r="H126" s="3">
        <v>1438377</v>
      </c>
      <c r="I126" s="3">
        <v>1340806</v>
      </c>
      <c r="J126" s="3">
        <f t="shared" si="11"/>
        <v>11556313</v>
      </c>
    </row>
    <row r="127" spans="1:10" x14ac:dyDescent="0.2">
      <c r="B127" s="3">
        <v>3</v>
      </c>
      <c r="C127" s="3">
        <v>447636.4</v>
      </c>
      <c r="D127" s="3">
        <v>467187.9</v>
      </c>
      <c r="E127" s="3">
        <v>483329.8</v>
      </c>
      <c r="F127" s="3">
        <v>488198.40000000002</v>
      </c>
      <c r="G127" s="3">
        <v>612193.5</v>
      </c>
      <c r="H127" s="3">
        <v>664009.69999999995</v>
      </c>
      <c r="I127" s="3">
        <v>463518.8</v>
      </c>
      <c r="J127" s="3">
        <f t="shared" si="11"/>
        <v>3626074.5</v>
      </c>
    </row>
    <row r="128" spans="1:10" x14ac:dyDescent="0.2">
      <c r="B128" s="3">
        <v>4</v>
      </c>
      <c r="C128" s="3">
        <v>14627</v>
      </c>
      <c r="D128" s="3">
        <v>74611.41</v>
      </c>
      <c r="E128" s="3">
        <v>56430.83</v>
      </c>
      <c r="F128" s="3">
        <v>107066.8</v>
      </c>
      <c r="G128" s="3">
        <v>204334</v>
      </c>
      <c r="H128" s="3">
        <v>224713.3</v>
      </c>
      <c r="I128" s="3">
        <v>225665.4</v>
      </c>
      <c r="J128" s="3">
        <f t="shared" si="11"/>
        <v>907448.74</v>
      </c>
    </row>
    <row r="129" spans="2:10" x14ac:dyDescent="0.2">
      <c r="B129" s="3">
        <v>5</v>
      </c>
      <c r="C129" s="3">
        <v>37714.51</v>
      </c>
      <c r="D129" s="3">
        <v>19229.689999999999</v>
      </c>
      <c r="E129" s="3">
        <v>21452.07</v>
      </c>
      <c r="F129" s="3">
        <v>38110.5</v>
      </c>
      <c r="G129" s="3">
        <v>39616.050000000003</v>
      </c>
      <c r="H129" s="3">
        <v>99105.54</v>
      </c>
      <c r="I129" s="3">
        <v>51479.69</v>
      </c>
      <c r="J129" s="3">
        <f t="shared" si="11"/>
        <v>306708.05</v>
      </c>
    </row>
    <row r="130" spans="2:10" x14ac:dyDescent="0.2">
      <c r="B130" s="3">
        <v>6</v>
      </c>
      <c r="C130" s="3">
        <v>24070.38</v>
      </c>
      <c r="D130" s="3">
        <v>22413.41</v>
      </c>
      <c r="E130" s="3">
        <v>3467.951</v>
      </c>
      <c r="F130" s="3">
        <v>5005.7809999999999</v>
      </c>
      <c r="G130" s="3">
        <v>16988.45</v>
      </c>
      <c r="H130" s="3">
        <v>26081.67</v>
      </c>
      <c r="I130" s="3">
        <v>53656.800000000003</v>
      </c>
      <c r="J130" s="3">
        <f t="shared" si="11"/>
        <v>151684.44200000001</v>
      </c>
    </row>
    <row r="131" spans="2:10" x14ac:dyDescent="0.2">
      <c r="B131" s="3">
        <v>7</v>
      </c>
      <c r="C131" s="3">
        <v>0</v>
      </c>
      <c r="D131" s="3">
        <v>0</v>
      </c>
      <c r="E131" s="3">
        <v>0</v>
      </c>
      <c r="F131" s="3">
        <v>0</v>
      </c>
      <c r="G131" s="3">
        <v>19535.650000000001</v>
      </c>
      <c r="H131" s="3">
        <v>22141.78</v>
      </c>
      <c r="I131" s="3">
        <v>6038.5360000000001</v>
      </c>
      <c r="J131" s="3">
        <f t="shared" si="11"/>
        <v>47715.966</v>
      </c>
    </row>
    <row r="132" spans="2:10" x14ac:dyDescent="0.2">
      <c r="B132" s="3">
        <v>8</v>
      </c>
      <c r="C132" s="3">
        <v>0</v>
      </c>
      <c r="D132" s="3">
        <v>0</v>
      </c>
      <c r="E132" s="3">
        <v>0</v>
      </c>
      <c r="F132" s="3">
        <v>0</v>
      </c>
      <c r="G132" s="3">
        <v>8758.3410000000003</v>
      </c>
      <c r="H132" s="3">
        <v>0</v>
      </c>
      <c r="I132" s="3">
        <v>10508.38</v>
      </c>
      <c r="J132" s="3">
        <f t="shared" si="11"/>
        <v>19266.720999999998</v>
      </c>
    </row>
    <row r="133" spans="2:10" x14ac:dyDescent="0.2">
      <c r="B133" s="3">
        <v>9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988.54690000000005</v>
      </c>
      <c r="I133" s="3">
        <v>0</v>
      </c>
      <c r="J133" s="3">
        <f t="shared" si="11"/>
        <v>988.54690000000005</v>
      </c>
    </row>
    <row r="134" spans="2:10" x14ac:dyDescent="0.2">
      <c r="B134" s="3">
        <v>10</v>
      </c>
      <c r="C134" s="3">
        <v>0</v>
      </c>
      <c r="D134" s="3">
        <v>0</v>
      </c>
      <c r="E134" s="3">
        <v>0</v>
      </c>
      <c r="F134" s="3">
        <v>1108.2950000000001</v>
      </c>
      <c r="G134" s="3">
        <v>286.83170000000001</v>
      </c>
      <c r="H134" s="3">
        <v>5920.5219999999999</v>
      </c>
      <c r="I134" s="3">
        <v>21570.57</v>
      </c>
      <c r="J134" s="3">
        <f t="shared" si="11"/>
        <v>28886.218699999998</v>
      </c>
    </row>
    <row r="135" spans="2:10" x14ac:dyDescent="0.2">
      <c r="B135" s="3">
        <v>11</v>
      </c>
      <c r="C135" s="3">
        <v>0</v>
      </c>
      <c r="D135" s="3">
        <v>0</v>
      </c>
      <c r="E135" s="3">
        <v>0</v>
      </c>
      <c r="F135" s="3">
        <v>45402.64</v>
      </c>
      <c r="G135" s="3">
        <v>0</v>
      </c>
      <c r="H135" s="3">
        <v>164.31569999999999</v>
      </c>
      <c r="I135" s="3">
        <v>0</v>
      </c>
      <c r="J135" s="3">
        <f t="shared" si="11"/>
        <v>45566.955699999999</v>
      </c>
    </row>
    <row r="136" spans="2:10" x14ac:dyDescent="0.2">
      <c r="B136" s="3">
        <v>12</v>
      </c>
      <c r="C136" s="3">
        <v>0</v>
      </c>
      <c r="D136" s="3">
        <v>0</v>
      </c>
      <c r="E136" s="3">
        <v>0</v>
      </c>
      <c r="F136" s="3">
        <v>0</v>
      </c>
      <c r="G136" s="3">
        <v>0</v>
      </c>
      <c r="H136" s="3">
        <v>11485</v>
      </c>
      <c r="I136" s="3">
        <v>4209.8490000000002</v>
      </c>
      <c r="J136" s="3">
        <f t="shared" si="11"/>
        <v>15694.849</v>
      </c>
    </row>
    <row r="137" spans="2:10" x14ac:dyDescent="0.2">
      <c r="B137" s="3">
        <v>13</v>
      </c>
      <c r="C137" s="3">
        <v>0</v>
      </c>
      <c r="D137" s="3">
        <v>0</v>
      </c>
      <c r="E137" s="3">
        <v>0</v>
      </c>
      <c r="F137" s="3">
        <v>0</v>
      </c>
      <c r="G137" s="3">
        <v>0</v>
      </c>
      <c r="H137" s="3">
        <v>0</v>
      </c>
      <c r="I137" s="3">
        <v>0</v>
      </c>
      <c r="J137" s="3">
        <f t="shared" si="11"/>
        <v>0</v>
      </c>
    </row>
    <row r="138" spans="2:10" x14ac:dyDescent="0.2">
      <c r="B138" s="3">
        <v>15</v>
      </c>
      <c r="C138" s="3">
        <v>0</v>
      </c>
      <c r="D138" s="3">
        <v>0</v>
      </c>
      <c r="E138" s="3">
        <v>0</v>
      </c>
      <c r="F138" s="3">
        <v>0</v>
      </c>
      <c r="G138" s="3">
        <v>0</v>
      </c>
      <c r="H138" s="3">
        <v>0</v>
      </c>
      <c r="I138" s="3">
        <v>0</v>
      </c>
      <c r="J138" s="3">
        <f t="shared" si="11"/>
        <v>0</v>
      </c>
    </row>
    <row r="139" spans="2:10" x14ac:dyDescent="0.2">
      <c r="B139" s="3">
        <v>20</v>
      </c>
      <c r="C139" s="3">
        <v>0</v>
      </c>
      <c r="D139" s="3">
        <v>0</v>
      </c>
      <c r="E139" s="3">
        <v>0</v>
      </c>
      <c r="F139" s="3">
        <v>0</v>
      </c>
      <c r="G139" s="3">
        <v>0</v>
      </c>
      <c r="H139" s="3">
        <v>0</v>
      </c>
      <c r="I139" s="3">
        <v>0</v>
      </c>
      <c r="J139" s="3">
        <f t="shared" si="11"/>
        <v>0</v>
      </c>
    </row>
    <row r="140" spans="2:10" x14ac:dyDescent="0.2">
      <c r="B140" s="3">
        <v>24</v>
      </c>
      <c r="C140" s="3">
        <v>0</v>
      </c>
      <c r="D140" s="3">
        <v>0</v>
      </c>
      <c r="E140" s="3">
        <v>0</v>
      </c>
      <c r="F140" s="3">
        <v>0</v>
      </c>
      <c r="G140" s="3">
        <v>0</v>
      </c>
      <c r="H140" s="3">
        <v>0</v>
      </c>
      <c r="I140" s="3">
        <v>0</v>
      </c>
      <c r="J140" s="3">
        <f t="shared" si="11"/>
        <v>0</v>
      </c>
    </row>
    <row r="141" spans="2:10" x14ac:dyDescent="0.2">
      <c r="C141" s="3">
        <f t="shared" ref="C141:I141" si="12">SUMPRODUCT($B$124:$B$140,C124:C140)</f>
        <v>5911587.8300000001</v>
      </c>
      <c r="D141" s="3">
        <f t="shared" si="12"/>
        <v>6867258.25</v>
      </c>
      <c r="E141" s="3">
        <f t="shared" si="12"/>
        <v>6249573.5759999994</v>
      </c>
      <c r="F141" s="3">
        <f t="shared" si="12"/>
        <v>6485957.4759999998</v>
      </c>
      <c r="G141" s="3">
        <f t="shared" si="12"/>
        <v>6981607.7450000001</v>
      </c>
      <c r="H141" s="3">
        <f t="shared" si="12"/>
        <v>7226270.394799999</v>
      </c>
      <c r="I141" s="3">
        <f t="shared" si="12"/>
        <v>6346867.9300000006</v>
      </c>
      <c r="J141" s="3">
        <f>SUMPRODUCT($B$80:$B$96,J124:J140)</f>
        <v>46069123.201800004</v>
      </c>
    </row>
    <row r="142" spans="2:10" x14ac:dyDescent="0.2">
      <c r="B142" t="s">
        <v>18</v>
      </c>
      <c r="C142" t="s">
        <v>3</v>
      </c>
      <c r="D142">
        <v>4</v>
      </c>
    </row>
    <row r="144" spans="2:10" x14ac:dyDescent="0.2">
      <c r="B144" s="3" t="s">
        <v>7</v>
      </c>
      <c r="C144" s="3"/>
      <c r="D144" s="3"/>
      <c r="E144" s="3"/>
      <c r="F144" s="3"/>
      <c r="G144" s="3"/>
      <c r="H144" s="3"/>
      <c r="I144" s="3"/>
    </row>
    <row r="145" spans="1:10" x14ac:dyDescent="0.2">
      <c r="A145" t="s">
        <v>35</v>
      </c>
      <c r="B145" s="3" t="s">
        <v>8</v>
      </c>
      <c r="C145" s="3" t="s">
        <v>9</v>
      </c>
      <c r="D145" s="3" t="s">
        <v>10</v>
      </c>
      <c r="E145" s="3" t="s">
        <v>11</v>
      </c>
      <c r="F145" s="3" t="s">
        <v>12</v>
      </c>
      <c r="G145" s="3" t="s">
        <v>13</v>
      </c>
      <c r="H145" s="3" t="s">
        <v>14</v>
      </c>
      <c r="I145" s="3"/>
      <c r="J145" s="3" t="s">
        <v>28</v>
      </c>
    </row>
    <row r="146" spans="1:10" x14ac:dyDescent="0.2">
      <c r="B146" s="3">
        <v>0</v>
      </c>
      <c r="C146" s="3">
        <v>50339.49</v>
      </c>
      <c r="D146" s="3">
        <v>43400.3</v>
      </c>
      <c r="E146" s="3">
        <v>55285.2</v>
      </c>
      <c r="F146" s="3">
        <v>45717.32</v>
      </c>
      <c r="G146" s="3">
        <v>47109.49</v>
      </c>
      <c r="H146" s="3">
        <v>76696.070000000007</v>
      </c>
      <c r="I146" s="3">
        <v>50562.080000000002</v>
      </c>
      <c r="J146" s="3">
        <f>SUM(C146:I146)</f>
        <v>369109.95</v>
      </c>
    </row>
    <row r="147" spans="1:10" x14ac:dyDescent="0.2">
      <c r="B147" s="3">
        <v>1</v>
      </c>
      <c r="C147" s="3">
        <v>167929.8</v>
      </c>
      <c r="D147" s="3">
        <v>190407</v>
      </c>
      <c r="E147" s="3">
        <v>219586.5</v>
      </c>
      <c r="F147" s="3">
        <v>155489.9</v>
      </c>
      <c r="G147" s="3">
        <v>132034</v>
      </c>
      <c r="H147" s="3">
        <v>136985.29999999999</v>
      </c>
      <c r="I147" s="3">
        <v>126160.2</v>
      </c>
      <c r="J147" s="3">
        <f t="shared" ref="J147:J162" si="13">SUM(C147:I147)</f>
        <v>1128592.7</v>
      </c>
    </row>
    <row r="148" spans="1:10" x14ac:dyDescent="0.2">
      <c r="B148" s="3">
        <v>2</v>
      </c>
      <c r="C148" s="3">
        <v>776445.9</v>
      </c>
      <c r="D148" s="3">
        <v>617074.6</v>
      </c>
      <c r="E148" s="3">
        <v>692278.9</v>
      </c>
      <c r="F148" s="3">
        <v>669636.69999999995</v>
      </c>
      <c r="G148" s="3">
        <v>518740.4</v>
      </c>
      <c r="H148" s="3">
        <v>616071.9</v>
      </c>
      <c r="I148" s="3">
        <v>425569.6</v>
      </c>
      <c r="J148" s="3">
        <f t="shared" si="13"/>
        <v>4315817.9999999991</v>
      </c>
    </row>
    <row r="149" spans="1:10" x14ac:dyDescent="0.2">
      <c r="B149" s="3">
        <v>3</v>
      </c>
      <c r="C149" s="3">
        <v>115302.2</v>
      </c>
      <c r="D149" s="3">
        <v>176656.2</v>
      </c>
      <c r="E149" s="3">
        <v>153607.79999999999</v>
      </c>
      <c r="F149" s="3">
        <v>163368.4</v>
      </c>
      <c r="G149" s="3">
        <v>180685.2</v>
      </c>
      <c r="H149" s="3">
        <v>237068.3</v>
      </c>
      <c r="I149" s="3">
        <v>189128.6</v>
      </c>
      <c r="J149" s="3">
        <f t="shared" si="13"/>
        <v>1215816.7000000002</v>
      </c>
    </row>
    <row r="150" spans="1:10" x14ac:dyDescent="0.2">
      <c r="B150" s="3">
        <v>4</v>
      </c>
      <c r="C150" s="3">
        <v>24074.799999999999</v>
      </c>
      <c r="D150" s="3">
        <v>20022.11</v>
      </c>
      <c r="E150" s="3">
        <v>16862.36</v>
      </c>
      <c r="F150" s="3">
        <v>52018.86</v>
      </c>
      <c r="G150" s="3">
        <v>47449.55</v>
      </c>
      <c r="H150" s="3">
        <v>126176.2</v>
      </c>
      <c r="I150" s="3">
        <v>87178.55</v>
      </c>
      <c r="J150" s="3">
        <f t="shared" si="13"/>
        <v>373782.43</v>
      </c>
    </row>
    <row r="151" spans="1:10" x14ac:dyDescent="0.2">
      <c r="B151" s="3">
        <v>5</v>
      </c>
      <c r="C151" s="3">
        <v>1106.3920000000001</v>
      </c>
      <c r="D151" s="3">
        <v>1726.7429999999999</v>
      </c>
      <c r="E151" s="3">
        <v>3402.616</v>
      </c>
      <c r="F151" s="3">
        <v>13076.3</v>
      </c>
      <c r="G151" s="3">
        <v>4532.1360000000004</v>
      </c>
      <c r="H151" s="3">
        <v>49106.7</v>
      </c>
      <c r="I151" s="3">
        <v>33380.400000000001</v>
      </c>
      <c r="J151" s="3">
        <f t="shared" si="13"/>
        <v>106331.28699999998</v>
      </c>
    </row>
    <row r="152" spans="1:10" x14ac:dyDescent="0.2">
      <c r="B152" s="3">
        <v>6</v>
      </c>
      <c r="C152" s="3">
        <v>0</v>
      </c>
      <c r="D152" s="3">
        <v>2838.76</v>
      </c>
      <c r="E152" s="3">
        <v>3244.6370000000002</v>
      </c>
      <c r="F152" s="3">
        <v>2519.4</v>
      </c>
      <c r="G152" s="3">
        <v>6055.8209999999999</v>
      </c>
      <c r="H152" s="3">
        <v>7657.0609999999997</v>
      </c>
      <c r="I152" s="3">
        <v>25046.51</v>
      </c>
      <c r="J152" s="3">
        <f t="shared" si="13"/>
        <v>47362.188999999998</v>
      </c>
    </row>
    <row r="153" spans="1:10" x14ac:dyDescent="0.2">
      <c r="B153" s="3">
        <v>7</v>
      </c>
      <c r="C153" s="3">
        <v>0</v>
      </c>
      <c r="D153" s="3">
        <v>35.311349999999997</v>
      </c>
      <c r="E153" s="3">
        <v>0</v>
      </c>
      <c r="F153" s="3">
        <v>0</v>
      </c>
      <c r="G153" s="3">
        <v>0</v>
      </c>
      <c r="H153" s="3">
        <v>0</v>
      </c>
      <c r="I153" s="3">
        <v>3956.3180000000002</v>
      </c>
      <c r="J153" s="3">
        <f t="shared" si="13"/>
        <v>3991.6293500000002</v>
      </c>
    </row>
    <row r="154" spans="1:10" x14ac:dyDescent="0.2">
      <c r="B154" s="3">
        <v>8</v>
      </c>
      <c r="C154" s="3">
        <v>1610.7919999999999</v>
      </c>
      <c r="D154" s="3">
        <v>657.24350000000004</v>
      </c>
      <c r="E154" s="3">
        <v>2056.7429999999999</v>
      </c>
      <c r="F154" s="3">
        <v>0</v>
      </c>
      <c r="G154" s="3">
        <v>6110.558</v>
      </c>
      <c r="H154" s="3">
        <v>971.18989999999997</v>
      </c>
      <c r="I154" s="3">
        <v>1326.1289999999999</v>
      </c>
      <c r="J154" s="3">
        <f t="shared" si="13"/>
        <v>12732.6554</v>
      </c>
    </row>
    <row r="155" spans="1:10" x14ac:dyDescent="0.2">
      <c r="B155" s="3">
        <v>9</v>
      </c>
      <c r="C155" s="3">
        <v>0</v>
      </c>
      <c r="D155" s="3">
        <v>0</v>
      </c>
      <c r="E155" s="3">
        <v>0</v>
      </c>
      <c r="F155" s="3">
        <v>35.311349999999997</v>
      </c>
      <c r="G155" s="3">
        <v>694.3904</v>
      </c>
      <c r="H155" s="3">
        <v>273.87709999999998</v>
      </c>
      <c r="I155" s="3">
        <v>1552.097</v>
      </c>
      <c r="J155" s="3">
        <f t="shared" si="13"/>
        <v>2555.6758499999996</v>
      </c>
    </row>
    <row r="156" spans="1:10" x14ac:dyDescent="0.2">
      <c r="B156" s="3">
        <v>10</v>
      </c>
      <c r="C156" s="3">
        <v>0</v>
      </c>
      <c r="D156" s="3">
        <v>0</v>
      </c>
      <c r="E156" s="3">
        <v>1351.2809999999999</v>
      </c>
      <c r="F156" s="3">
        <v>0</v>
      </c>
      <c r="G156" s="3">
        <v>4413.3010000000004</v>
      </c>
      <c r="H156" s="3">
        <v>0</v>
      </c>
      <c r="I156" s="3">
        <v>25931.18</v>
      </c>
      <c r="J156" s="3">
        <f t="shared" si="13"/>
        <v>31695.762000000002</v>
      </c>
    </row>
    <row r="157" spans="1:10" x14ac:dyDescent="0.2">
      <c r="B157" s="3">
        <v>11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11972.53</v>
      </c>
      <c r="J157" s="3">
        <f t="shared" si="13"/>
        <v>11972.53</v>
      </c>
    </row>
    <row r="158" spans="1:10" x14ac:dyDescent="0.2">
      <c r="B158" s="3">
        <v>12</v>
      </c>
      <c r="C158" s="3">
        <v>0</v>
      </c>
      <c r="D158" s="3">
        <v>0</v>
      </c>
      <c r="E158" s="3">
        <v>0</v>
      </c>
      <c r="F158" s="3">
        <v>0</v>
      </c>
      <c r="G158" s="3">
        <v>0</v>
      </c>
      <c r="H158" s="3">
        <v>1743.6980000000001</v>
      </c>
      <c r="I158" s="3">
        <v>5744.6570000000002</v>
      </c>
      <c r="J158" s="3">
        <f t="shared" si="13"/>
        <v>7488.3550000000005</v>
      </c>
    </row>
    <row r="159" spans="1:10" x14ac:dyDescent="0.2">
      <c r="B159" s="3">
        <v>13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f t="shared" si="13"/>
        <v>0</v>
      </c>
    </row>
    <row r="160" spans="1:10" x14ac:dyDescent="0.2">
      <c r="B160" s="3">
        <v>15</v>
      </c>
      <c r="C160" s="3">
        <v>0</v>
      </c>
      <c r="D160" s="3">
        <v>0</v>
      </c>
      <c r="E160" s="3">
        <v>0</v>
      </c>
      <c r="F160" s="3">
        <v>0</v>
      </c>
      <c r="G160" s="3">
        <v>0</v>
      </c>
      <c r="H160" s="3">
        <v>0</v>
      </c>
      <c r="I160" s="3">
        <v>0</v>
      </c>
      <c r="J160" s="3">
        <f t="shared" si="13"/>
        <v>0</v>
      </c>
    </row>
    <row r="161" spans="1:10" x14ac:dyDescent="0.2">
      <c r="B161" s="3">
        <v>20</v>
      </c>
      <c r="C161" s="3">
        <v>0</v>
      </c>
      <c r="D161" s="3">
        <v>0</v>
      </c>
      <c r="E161" s="3">
        <v>0</v>
      </c>
      <c r="F161" s="3">
        <v>0</v>
      </c>
      <c r="G161" s="3">
        <v>0</v>
      </c>
      <c r="H161" s="3">
        <v>0</v>
      </c>
      <c r="I161" s="3">
        <v>718.59839999999997</v>
      </c>
      <c r="J161" s="3">
        <f t="shared" si="13"/>
        <v>718.59839999999997</v>
      </c>
    </row>
    <row r="162" spans="1:10" x14ac:dyDescent="0.2">
      <c r="B162" s="3">
        <v>24</v>
      </c>
      <c r="C162" s="3">
        <v>0</v>
      </c>
      <c r="D162" s="3">
        <v>0</v>
      </c>
      <c r="E162" s="3">
        <v>0</v>
      </c>
      <c r="F162" s="3">
        <v>0</v>
      </c>
      <c r="G162" s="3">
        <v>0</v>
      </c>
      <c r="H162" s="3">
        <v>0</v>
      </c>
      <c r="I162" s="3">
        <v>0</v>
      </c>
      <c r="J162" s="3">
        <f t="shared" si="13"/>
        <v>0</v>
      </c>
    </row>
    <row r="163" spans="1:10" x14ac:dyDescent="0.2">
      <c r="C163" s="3">
        <f t="shared" ref="C163:I163" si="14">SUMPRODUCT($B$146:$B$162,C146:C162)</f>
        <v>2181445.6960000005</v>
      </c>
      <c r="D163" s="3">
        <f t="shared" si="14"/>
        <v>2065784.6424500002</v>
      </c>
      <c r="E163" s="3">
        <f t="shared" si="14"/>
        <v>2198864.7960000006</v>
      </c>
      <c r="F163" s="3">
        <f t="shared" si="14"/>
        <v>2273759.6421499997</v>
      </c>
      <c r="G163" s="3">
        <f t="shared" si="14"/>
        <v>2059631.1935999999</v>
      </c>
      <c r="H163" s="3">
        <f t="shared" si="14"/>
        <v>2907673.4550999999</v>
      </c>
      <c r="I163" s="3">
        <f t="shared" si="14"/>
        <v>2737170.0729999999</v>
      </c>
      <c r="J163" s="3">
        <f>SUMPRODUCT($B$80:$B$96,J146:J162)</f>
        <v>16424329.498299997</v>
      </c>
    </row>
    <row r="164" spans="1:10" x14ac:dyDescent="0.2">
      <c r="B164" t="s">
        <v>18</v>
      </c>
      <c r="C164" t="s">
        <v>3</v>
      </c>
      <c r="D164">
        <v>5</v>
      </c>
    </row>
    <row r="166" spans="1:10" x14ac:dyDescent="0.2">
      <c r="B166" t="s">
        <v>7</v>
      </c>
    </row>
    <row r="167" spans="1:10" x14ac:dyDescent="0.2">
      <c r="A167" t="s">
        <v>35</v>
      </c>
      <c r="C167" s="3" t="s">
        <v>8</v>
      </c>
      <c r="D167" s="3" t="s">
        <v>9</v>
      </c>
      <c r="E167" s="3" t="s">
        <v>10</v>
      </c>
      <c r="F167" s="3" t="s">
        <v>11</v>
      </c>
      <c r="G167" s="3" t="s">
        <v>12</v>
      </c>
      <c r="H167" s="3" t="s">
        <v>13</v>
      </c>
      <c r="I167" s="3" t="s">
        <v>14</v>
      </c>
      <c r="J167" s="3" t="s">
        <v>28</v>
      </c>
    </row>
    <row r="168" spans="1:10" x14ac:dyDescent="0.2">
      <c r="B168" s="3">
        <v>0</v>
      </c>
      <c r="C168" s="3">
        <v>50825.64</v>
      </c>
      <c r="D168" s="3">
        <v>25419.08</v>
      </c>
      <c r="E168" s="3">
        <v>28132.32</v>
      </c>
      <c r="F168" s="3">
        <v>33515.42</v>
      </c>
      <c r="G168" s="3">
        <v>27099.64</v>
      </c>
      <c r="H168" s="3">
        <v>20351.060000000001</v>
      </c>
      <c r="I168" s="3">
        <v>39648.639999999999</v>
      </c>
      <c r="J168" s="3">
        <f>SUM(C168:I168)</f>
        <v>224991.80000000005</v>
      </c>
    </row>
    <row r="169" spans="1:10" x14ac:dyDescent="0.2">
      <c r="B169" s="3">
        <v>1</v>
      </c>
      <c r="C169" s="3">
        <v>83416.75</v>
      </c>
      <c r="D169" s="3">
        <v>102814.5</v>
      </c>
      <c r="E169" s="3">
        <v>103010.2</v>
      </c>
      <c r="F169" s="3">
        <v>80287.3</v>
      </c>
      <c r="G169" s="3">
        <v>57476.43</v>
      </c>
      <c r="H169" s="3">
        <v>56205.25</v>
      </c>
      <c r="I169" s="3">
        <v>40619.300000000003</v>
      </c>
      <c r="J169" s="3">
        <f t="shared" ref="J169:J184" si="15">SUM(C169:I169)</f>
        <v>523829.73</v>
      </c>
    </row>
    <row r="170" spans="1:10" x14ac:dyDescent="0.2">
      <c r="B170" s="3">
        <v>2</v>
      </c>
      <c r="C170" s="3">
        <v>353659.5</v>
      </c>
      <c r="D170" s="3">
        <v>346372.2</v>
      </c>
      <c r="E170" s="3">
        <v>297831.90000000002</v>
      </c>
      <c r="F170" s="3">
        <v>238607.7</v>
      </c>
      <c r="G170" s="3">
        <v>248891.4</v>
      </c>
      <c r="H170" s="3">
        <v>259984.9</v>
      </c>
      <c r="I170" s="3">
        <v>150877.20000000001</v>
      </c>
      <c r="J170" s="3">
        <f t="shared" si="15"/>
        <v>1896224.7999999998</v>
      </c>
    </row>
    <row r="171" spans="1:10" x14ac:dyDescent="0.2">
      <c r="B171" s="3">
        <v>3</v>
      </c>
      <c r="C171" s="3">
        <v>71215.75</v>
      </c>
      <c r="D171" s="3">
        <v>117548.3</v>
      </c>
      <c r="E171" s="3">
        <v>124477.4</v>
      </c>
      <c r="F171" s="3">
        <v>124379.6</v>
      </c>
      <c r="G171" s="3">
        <v>134630.39999999999</v>
      </c>
      <c r="H171" s="3">
        <v>103372.8</v>
      </c>
      <c r="I171" s="3">
        <v>82058.98</v>
      </c>
      <c r="J171" s="3">
        <f t="shared" si="15"/>
        <v>757683.23</v>
      </c>
    </row>
    <row r="172" spans="1:10" x14ac:dyDescent="0.2">
      <c r="B172" s="3">
        <v>4</v>
      </c>
      <c r="C172" s="3">
        <v>13715.59</v>
      </c>
      <c r="D172" s="3">
        <v>21548.77</v>
      </c>
      <c r="E172" s="3">
        <v>14052.23</v>
      </c>
      <c r="F172" s="3">
        <v>34576.949999999997</v>
      </c>
      <c r="G172" s="3">
        <v>38693.26</v>
      </c>
      <c r="H172" s="3">
        <v>54628.67</v>
      </c>
      <c r="I172" s="3">
        <v>55791.68</v>
      </c>
      <c r="J172" s="3">
        <f t="shared" si="15"/>
        <v>233007.14999999997</v>
      </c>
    </row>
    <row r="173" spans="1:10" x14ac:dyDescent="0.2">
      <c r="B173" s="3">
        <v>5</v>
      </c>
      <c r="C173" s="3">
        <v>3314.4059999999999</v>
      </c>
      <c r="D173" s="3">
        <v>481.77</v>
      </c>
      <c r="E173" s="3">
        <v>6711.2259999999997</v>
      </c>
      <c r="F173" s="3">
        <v>4928.1509999999998</v>
      </c>
      <c r="G173" s="3">
        <v>10397.86</v>
      </c>
      <c r="H173" s="3">
        <v>18036.71</v>
      </c>
      <c r="I173" s="3">
        <v>25473.65</v>
      </c>
      <c r="J173" s="3">
        <f t="shared" si="15"/>
        <v>69343.773000000001</v>
      </c>
    </row>
    <row r="174" spans="1:10" x14ac:dyDescent="0.2">
      <c r="B174" s="3">
        <v>6</v>
      </c>
      <c r="C174" s="3">
        <v>0</v>
      </c>
      <c r="D174" s="3">
        <v>0</v>
      </c>
      <c r="E174" s="3">
        <v>1593.854</v>
      </c>
      <c r="F174" s="3">
        <v>3253.1680000000001</v>
      </c>
      <c r="G174" s="3">
        <v>7023.7879999999996</v>
      </c>
      <c r="H174" s="3">
        <v>10975.73</v>
      </c>
      <c r="I174" s="3">
        <v>18161.14</v>
      </c>
      <c r="J174" s="3">
        <f t="shared" si="15"/>
        <v>41007.68</v>
      </c>
    </row>
    <row r="175" spans="1:10" x14ac:dyDescent="0.2">
      <c r="B175" s="3">
        <v>7</v>
      </c>
      <c r="C175" s="3">
        <v>0</v>
      </c>
      <c r="D175" s="3">
        <v>0</v>
      </c>
      <c r="E175" s="3">
        <v>0</v>
      </c>
      <c r="F175" s="3">
        <v>0</v>
      </c>
      <c r="G175" s="3">
        <v>464.47930000000002</v>
      </c>
      <c r="H175" s="3">
        <v>3778.49</v>
      </c>
      <c r="I175" s="3">
        <v>836.15920000000006</v>
      </c>
      <c r="J175" s="3">
        <f t="shared" si="15"/>
        <v>5079.1284999999998</v>
      </c>
    </row>
    <row r="176" spans="1:10" x14ac:dyDescent="0.2">
      <c r="B176" s="3">
        <v>8</v>
      </c>
      <c r="C176" s="3">
        <v>315.12909999999999</v>
      </c>
      <c r="D176" s="3">
        <v>0</v>
      </c>
      <c r="E176" s="3">
        <v>0</v>
      </c>
      <c r="F176" s="3">
        <v>208.1174</v>
      </c>
      <c r="G176" s="3">
        <v>866.39769999999999</v>
      </c>
      <c r="H176" s="3">
        <v>0</v>
      </c>
      <c r="I176" s="3">
        <v>5783.1229999999996</v>
      </c>
      <c r="J176" s="3">
        <f t="shared" si="15"/>
        <v>7172.7671999999993</v>
      </c>
    </row>
    <row r="177" spans="1:10" x14ac:dyDescent="0.2">
      <c r="B177" s="3">
        <v>9</v>
      </c>
      <c r="C177" s="3">
        <v>0</v>
      </c>
      <c r="D177" s="3">
        <v>0</v>
      </c>
      <c r="E177" s="3">
        <v>0</v>
      </c>
      <c r="F177" s="3">
        <v>0</v>
      </c>
      <c r="G177" s="3">
        <v>196.4967</v>
      </c>
      <c r="H177" s="3">
        <v>0</v>
      </c>
      <c r="I177" s="3">
        <v>0</v>
      </c>
      <c r="J177" s="3">
        <f t="shared" si="15"/>
        <v>196.4967</v>
      </c>
    </row>
    <row r="178" spans="1:10" x14ac:dyDescent="0.2">
      <c r="B178" s="3">
        <v>10</v>
      </c>
      <c r="C178" s="3">
        <v>0</v>
      </c>
      <c r="D178" s="3">
        <v>0</v>
      </c>
      <c r="E178" s="3">
        <v>0</v>
      </c>
      <c r="F178" s="3">
        <v>321.3082</v>
      </c>
      <c r="G178" s="3">
        <v>0</v>
      </c>
      <c r="H178" s="3">
        <v>1204.5999999999999</v>
      </c>
      <c r="I178" s="3">
        <v>12335.91</v>
      </c>
      <c r="J178" s="3">
        <f t="shared" si="15"/>
        <v>13861.8182</v>
      </c>
    </row>
    <row r="179" spans="1:10" x14ac:dyDescent="0.2">
      <c r="B179" s="3">
        <v>11</v>
      </c>
      <c r="C179" s="3">
        <v>0</v>
      </c>
      <c r="D179" s="3">
        <v>544.76130000000001</v>
      </c>
      <c r="E179" s="3">
        <v>0</v>
      </c>
      <c r="F179" s="3">
        <v>0</v>
      </c>
      <c r="G179" s="3">
        <v>1608.538</v>
      </c>
      <c r="H179" s="3">
        <v>0</v>
      </c>
      <c r="I179" s="3">
        <v>0</v>
      </c>
      <c r="J179" s="3">
        <f t="shared" si="15"/>
        <v>2153.2993000000001</v>
      </c>
    </row>
    <row r="180" spans="1:10" x14ac:dyDescent="0.2">
      <c r="B180" s="3">
        <v>12</v>
      </c>
      <c r="C180" s="3">
        <v>0</v>
      </c>
      <c r="D180" s="3">
        <v>0</v>
      </c>
      <c r="E180" s="3">
        <v>2791.2849999999999</v>
      </c>
      <c r="F180" s="3">
        <v>0</v>
      </c>
      <c r="G180" s="3">
        <v>0</v>
      </c>
      <c r="H180" s="3">
        <v>0</v>
      </c>
      <c r="I180" s="3">
        <v>3797.087</v>
      </c>
      <c r="J180" s="3">
        <f t="shared" si="15"/>
        <v>6588.3719999999994</v>
      </c>
    </row>
    <row r="181" spans="1:10" x14ac:dyDescent="0.2">
      <c r="B181" s="3">
        <v>13</v>
      </c>
      <c r="C181" s="3">
        <v>0</v>
      </c>
      <c r="D181" s="3">
        <v>0</v>
      </c>
      <c r="E181" s="3">
        <v>0</v>
      </c>
      <c r="F181" s="3">
        <v>0</v>
      </c>
      <c r="G181" s="3">
        <v>0</v>
      </c>
      <c r="H181" s="3">
        <v>0</v>
      </c>
      <c r="I181" s="3">
        <v>129.91239999999999</v>
      </c>
      <c r="J181" s="3">
        <f t="shared" si="15"/>
        <v>129.91239999999999</v>
      </c>
    </row>
    <row r="182" spans="1:10" x14ac:dyDescent="0.2">
      <c r="B182" s="3">
        <v>15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2378.3620000000001</v>
      </c>
      <c r="J182" s="3">
        <f t="shared" si="15"/>
        <v>2378.3620000000001</v>
      </c>
    </row>
    <row r="183" spans="1:10" x14ac:dyDescent="0.2">
      <c r="B183" s="3">
        <v>20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944.73090000000002</v>
      </c>
      <c r="I183" s="3">
        <v>0</v>
      </c>
      <c r="J183" s="3">
        <f t="shared" si="15"/>
        <v>944.73090000000002</v>
      </c>
    </row>
    <row r="184" spans="1:10" x14ac:dyDescent="0.2">
      <c r="B184" s="3">
        <v>24</v>
      </c>
      <c r="C184" s="3">
        <v>0</v>
      </c>
      <c r="D184" s="3">
        <v>0</v>
      </c>
      <c r="E184" s="3">
        <v>0</v>
      </c>
      <c r="F184" s="3">
        <v>0</v>
      </c>
      <c r="G184" s="3">
        <v>0</v>
      </c>
      <c r="H184" s="3">
        <v>0</v>
      </c>
      <c r="I184" s="3">
        <v>0</v>
      </c>
      <c r="J184" s="3">
        <f t="shared" si="15"/>
        <v>0</v>
      </c>
    </row>
    <row r="185" spans="1:10" x14ac:dyDescent="0.2">
      <c r="B185" s="3"/>
      <c r="C185" s="3">
        <f t="shared" ref="C185:I185" si="16">SUMPRODUCT($B$168:$B$184,C168:C184)</f>
        <v>1078338.4228000001</v>
      </c>
      <c r="D185" s="3">
        <f t="shared" si="16"/>
        <v>1242800.1043000002</v>
      </c>
      <c r="E185" s="3">
        <f t="shared" si="16"/>
        <v>1204929.7939999998</v>
      </c>
      <c r="F185" s="3">
        <f t="shared" si="16"/>
        <v>1117987.0841999997</v>
      </c>
      <c r="G185" s="3">
        <f t="shared" si="16"/>
        <v>1237700.423</v>
      </c>
      <c r="H185" s="3">
        <f t="shared" si="16"/>
        <v>1318236.108</v>
      </c>
      <c r="I185" s="3">
        <f t="shared" si="16"/>
        <v>1306458.9835999999</v>
      </c>
      <c r="J185" s="3">
        <f>SUMPRODUCT($B$80:$B$96,J168:J184)</f>
        <v>8506450.9199000001</v>
      </c>
    </row>
    <row r="186" spans="1:10" x14ac:dyDescent="0.2">
      <c r="A186" t="s">
        <v>0</v>
      </c>
      <c r="C186" s="3"/>
      <c r="D186" s="3"/>
      <c r="E186" s="3"/>
      <c r="F186" s="3"/>
      <c r="G186" s="3"/>
      <c r="H186" s="3"/>
      <c r="I186" s="3"/>
    </row>
    <row r="187" spans="1:10" s="10" customFormat="1" x14ac:dyDescent="0.2">
      <c r="A187" s="10" t="s">
        <v>0</v>
      </c>
      <c r="B187" s="10" t="s">
        <v>36</v>
      </c>
      <c r="C187" s="10" t="s">
        <v>42</v>
      </c>
    </row>
    <row r="188" spans="1:10" x14ac:dyDescent="0.2">
      <c r="A188" t="s">
        <v>0</v>
      </c>
      <c r="B188" t="s">
        <v>43</v>
      </c>
      <c r="C188" t="s">
        <v>2</v>
      </c>
      <c r="D188" t="s">
        <v>3</v>
      </c>
      <c r="E188" t="s">
        <v>4</v>
      </c>
    </row>
    <row r="189" spans="1:10" x14ac:dyDescent="0.2">
      <c r="B189" t="s">
        <v>20</v>
      </c>
      <c r="C189" t="s">
        <v>3</v>
      </c>
      <c r="D189" t="s">
        <v>21</v>
      </c>
    </row>
    <row r="191" spans="1:10" x14ac:dyDescent="0.2">
      <c r="B191" s="3" t="s">
        <v>7</v>
      </c>
      <c r="C191" s="3"/>
      <c r="D191" s="3"/>
      <c r="E191" s="3"/>
      <c r="F191" s="3"/>
      <c r="G191" s="3"/>
      <c r="H191" s="3"/>
      <c r="I191" s="3"/>
    </row>
    <row r="192" spans="1:10" x14ac:dyDescent="0.2">
      <c r="A192" t="s">
        <v>35</v>
      </c>
      <c r="C192" s="3" t="s">
        <v>8</v>
      </c>
      <c r="D192" s="3" t="s">
        <v>9</v>
      </c>
      <c r="E192" s="3" t="s">
        <v>10</v>
      </c>
      <c r="F192" s="3" t="s">
        <v>11</v>
      </c>
      <c r="G192" s="3" t="s">
        <v>12</v>
      </c>
      <c r="H192" s="3" t="s">
        <v>13</v>
      </c>
      <c r="I192" s="3" t="s">
        <v>14</v>
      </c>
      <c r="J192" s="3" t="s">
        <v>28</v>
      </c>
    </row>
    <row r="193" spans="2:10" x14ac:dyDescent="0.2">
      <c r="B193" s="3">
        <v>0</v>
      </c>
      <c r="C193" s="3">
        <v>163079.79999999999</v>
      </c>
      <c r="D193" s="3">
        <v>182526.3</v>
      </c>
      <c r="E193" s="3">
        <v>123207.4</v>
      </c>
      <c r="F193" s="3">
        <v>161171.1</v>
      </c>
      <c r="G193" s="3">
        <v>237887.1</v>
      </c>
      <c r="H193" s="3">
        <v>189173.1</v>
      </c>
      <c r="I193" s="3">
        <v>277262.09999999998</v>
      </c>
      <c r="J193" s="3">
        <f>SUM(C193:I193)</f>
        <v>1334306.8999999999</v>
      </c>
    </row>
    <row r="194" spans="2:10" x14ac:dyDescent="0.2">
      <c r="B194" s="3">
        <v>1</v>
      </c>
      <c r="C194" s="3">
        <v>613662.5</v>
      </c>
      <c r="D194" s="3">
        <v>407378.4</v>
      </c>
      <c r="E194" s="3">
        <v>554943.69999999995</v>
      </c>
      <c r="F194" s="3">
        <v>337428</v>
      </c>
      <c r="G194" s="3">
        <v>353957.3</v>
      </c>
      <c r="H194" s="3">
        <v>342520.7</v>
      </c>
      <c r="I194" s="3">
        <v>462733.1</v>
      </c>
      <c r="J194" s="3">
        <f t="shared" ref="J194:J209" si="17">SUM(C194:I194)</f>
        <v>3072623.7</v>
      </c>
    </row>
    <row r="195" spans="2:10" x14ac:dyDescent="0.2">
      <c r="B195" s="3">
        <v>2</v>
      </c>
      <c r="C195" s="3">
        <v>1186301</v>
      </c>
      <c r="D195" s="3">
        <v>1009184</v>
      </c>
      <c r="E195" s="3">
        <v>1355615</v>
      </c>
      <c r="F195" s="3">
        <v>1227361</v>
      </c>
      <c r="G195" s="3">
        <v>1220110</v>
      </c>
      <c r="H195" s="3">
        <v>1305628</v>
      </c>
      <c r="I195" s="3">
        <v>1101266</v>
      </c>
      <c r="J195" s="3">
        <f t="shared" si="17"/>
        <v>8405465</v>
      </c>
    </row>
    <row r="196" spans="2:10" x14ac:dyDescent="0.2">
      <c r="B196" s="3">
        <v>3</v>
      </c>
      <c r="C196" s="3">
        <v>328746.59999999998</v>
      </c>
      <c r="D196" s="3">
        <v>272975.40000000002</v>
      </c>
      <c r="E196" s="3">
        <v>378891.6</v>
      </c>
      <c r="F196" s="3">
        <v>571999.6</v>
      </c>
      <c r="G196" s="3">
        <v>533121</v>
      </c>
      <c r="H196" s="3">
        <v>587563.1</v>
      </c>
      <c r="I196" s="3">
        <v>536030.6</v>
      </c>
      <c r="J196" s="3">
        <f t="shared" si="17"/>
        <v>3209327.9</v>
      </c>
    </row>
    <row r="197" spans="2:10" x14ac:dyDescent="0.2">
      <c r="B197" s="3">
        <v>4</v>
      </c>
      <c r="C197" s="3">
        <v>111164.8</v>
      </c>
      <c r="D197" s="3">
        <v>88753.94</v>
      </c>
      <c r="E197" s="3">
        <v>124917.5</v>
      </c>
      <c r="F197" s="3">
        <v>173703.9</v>
      </c>
      <c r="G197" s="3">
        <v>314277.3</v>
      </c>
      <c r="H197" s="3">
        <v>319807.2</v>
      </c>
      <c r="I197" s="3">
        <v>364649.6</v>
      </c>
      <c r="J197" s="3">
        <f t="shared" si="17"/>
        <v>1497274.2399999998</v>
      </c>
    </row>
    <row r="198" spans="2:10" x14ac:dyDescent="0.2">
      <c r="B198" s="3">
        <v>5</v>
      </c>
      <c r="C198" s="3">
        <v>48153.09</v>
      </c>
      <c r="D198" s="3">
        <v>38538.5</v>
      </c>
      <c r="E198" s="3">
        <v>22898.240000000002</v>
      </c>
      <c r="F198" s="3">
        <v>54463.88</v>
      </c>
      <c r="G198" s="3">
        <v>61704.54</v>
      </c>
      <c r="H198" s="3">
        <v>173209.5</v>
      </c>
      <c r="I198" s="3">
        <v>123853.8</v>
      </c>
      <c r="J198" s="3">
        <f t="shared" si="17"/>
        <v>522821.55</v>
      </c>
    </row>
    <row r="199" spans="2:10" x14ac:dyDescent="0.2">
      <c r="B199" s="3">
        <v>6</v>
      </c>
      <c r="C199" s="3">
        <v>102.94459999999999</v>
      </c>
      <c r="D199" s="3">
        <v>0</v>
      </c>
      <c r="E199" s="3">
        <v>10944.73</v>
      </c>
      <c r="F199" s="3">
        <v>17419.13</v>
      </c>
      <c r="G199" s="3">
        <v>39701.07</v>
      </c>
      <c r="H199" s="3">
        <v>76170.320000000007</v>
      </c>
      <c r="I199" s="3">
        <v>134805</v>
      </c>
      <c r="J199" s="3">
        <f t="shared" si="17"/>
        <v>279143.19460000005</v>
      </c>
    </row>
    <row r="200" spans="2:10" x14ac:dyDescent="0.2">
      <c r="B200" s="3">
        <v>7</v>
      </c>
      <c r="C200" s="3">
        <v>0</v>
      </c>
      <c r="D200" s="3">
        <v>1563.7080000000001</v>
      </c>
      <c r="E200" s="3">
        <v>144.3586</v>
      </c>
      <c r="F200" s="3">
        <v>1236.963</v>
      </c>
      <c r="G200" s="3">
        <v>9355.9989999999998</v>
      </c>
      <c r="H200" s="3">
        <v>19448.740000000002</v>
      </c>
      <c r="I200" s="3">
        <v>26225.88</v>
      </c>
      <c r="J200" s="3">
        <f t="shared" si="17"/>
        <v>57975.6486</v>
      </c>
    </row>
    <row r="201" spans="2:10" x14ac:dyDescent="0.2">
      <c r="B201" s="3">
        <v>8</v>
      </c>
      <c r="C201" s="3">
        <v>1925.921</v>
      </c>
      <c r="D201" s="3">
        <v>1482.491</v>
      </c>
      <c r="E201" s="3">
        <v>2056.7429999999999</v>
      </c>
      <c r="F201" s="3">
        <v>1196.798</v>
      </c>
      <c r="G201" s="3">
        <v>14620.82</v>
      </c>
      <c r="H201" s="3">
        <v>27957.67</v>
      </c>
      <c r="I201" s="3">
        <v>36846.11</v>
      </c>
      <c r="J201" s="3">
        <f t="shared" si="17"/>
        <v>86086.553</v>
      </c>
    </row>
    <row r="202" spans="2:10" x14ac:dyDescent="0.2">
      <c r="B202" s="3">
        <v>9</v>
      </c>
      <c r="C202" s="3">
        <v>0</v>
      </c>
      <c r="D202" s="3">
        <v>0</v>
      </c>
      <c r="E202" s="3">
        <v>0</v>
      </c>
      <c r="F202" s="3">
        <v>35.311349999999997</v>
      </c>
      <c r="G202" s="3">
        <v>1526.771</v>
      </c>
      <c r="H202" s="3">
        <v>5847.7060000000001</v>
      </c>
      <c r="I202" s="3">
        <v>2284.873</v>
      </c>
      <c r="J202" s="3">
        <f t="shared" si="17"/>
        <v>9694.6613500000003</v>
      </c>
    </row>
    <row r="203" spans="2:10" x14ac:dyDescent="0.2">
      <c r="B203" s="3">
        <v>10</v>
      </c>
      <c r="C203" s="3">
        <v>0</v>
      </c>
      <c r="D203" s="3">
        <v>611.17290000000003</v>
      </c>
      <c r="E203" s="3">
        <v>3241.2240000000002</v>
      </c>
      <c r="F203" s="3">
        <v>5640.0330000000004</v>
      </c>
      <c r="G203" s="3">
        <v>7717.3779999999997</v>
      </c>
      <c r="H203" s="3">
        <v>15544.61</v>
      </c>
      <c r="I203" s="3">
        <v>29629.29</v>
      </c>
      <c r="J203" s="3">
        <f t="shared" si="17"/>
        <v>62383.707900000001</v>
      </c>
    </row>
    <row r="204" spans="2:10" x14ac:dyDescent="0.2">
      <c r="B204" s="3">
        <v>11</v>
      </c>
      <c r="C204" s="3">
        <v>0</v>
      </c>
      <c r="D204" s="3">
        <v>0</v>
      </c>
      <c r="E204" s="3">
        <v>0</v>
      </c>
      <c r="F204" s="3">
        <v>0</v>
      </c>
      <c r="G204" s="3">
        <v>163.01220000000001</v>
      </c>
      <c r="H204" s="3">
        <v>164.31569999999999</v>
      </c>
      <c r="I204" s="3">
        <v>12268.85</v>
      </c>
      <c r="J204" s="3">
        <f t="shared" si="17"/>
        <v>12596.177900000001</v>
      </c>
    </row>
    <row r="205" spans="2:10" x14ac:dyDescent="0.2">
      <c r="B205" s="3">
        <v>12</v>
      </c>
      <c r="C205" s="3">
        <v>0</v>
      </c>
      <c r="D205" s="3">
        <v>0</v>
      </c>
      <c r="E205" s="3">
        <v>2791.2849999999999</v>
      </c>
      <c r="F205" s="3">
        <v>0</v>
      </c>
      <c r="G205" s="3">
        <v>8492.6810000000005</v>
      </c>
      <c r="H205" s="3">
        <v>11793.43</v>
      </c>
      <c r="I205" s="3">
        <v>7894.76</v>
      </c>
      <c r="J205" s="3">
        <f t="shared" si="17"/>
        <v>30972.156000000003</v>
      </c>
    </row>
    <row r="206" spans="2:10" x14ac:dyDescent="0.2">
      <c r="B206" s="3">
        <v>13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f t="shared" si="17"/>
        <v>0</v>
      </c>
    </row>
    <row r="207" spans="2:10" x14ac:dyDescent="0.2">
      <c r="B207" s="3">
        <v>15</v>
      </c>
      <c r="C207" s="3">
        <v>0</v>
      </c>
      <c r="D207" s="3">
        <v>0</v>
      </c>
      <c r="E207" s="3">
        <v>0</v>
      </c>
      <c r="F207" s="3">
        <v>0</v>
      </c>
      <c r="G207" s="3">
        <v>899.8587</v>
      </c>
      <c r="H207" s="3">
        <v>0</v>
      </c>
      <c r="I207" s="3">
        <v>756.8664</v>
      </c>
      <c r="J207" s="3">
        <f t="shared" si="17"/>
        <v>1656.7251000000001</v>
      </c>
    </row>
    <row r="208" spans="2:10" x14ac:dyDescent="0.2">
      <c r="B208" s="3">
        <v>20</v>
      </c>
      <c r="C208" s="3">
        <v>0</v>
      </c>
      <c r="D208" s="3">
        <v>0</v>
      </c>
      <c r="E208" s="3">
        <v>0</v>
      </c>
      <c r="F208" s="3">
        <v>0</v>
      </c>
      <c r="G208" s="3">
        <v>0</v>
      </c>
      <c r="H208" s="3">
        <v>944.73090000000002</v>
      </c>
      <c r="I208" s="3">
        <v>718.59839999999997</v>
      </c>
      <c r="J208" s="3">
        <f t="shared" si="17"/>
        <v>1663.3292999999999</v>
      </c>
    </row>
    <row r="209" spans="1:10" x14ac:dyDescent="0.2">
      <c r="B209" s="3">
        <v>24</v>
      </c>
      <c r="C209" s="3">
        <v>0</v>
      </c>
      <c r="D209" s="3">
        <v>0</v>
      </c>
      <c r="E209" s="3">
        <v>0</v>
      </c>
      <c r="F209" s="3">
        <v>0</v>
      </c>
      <c r="G209" s="3">
        <v>0</v>
      </c>
      <c r="H209" s="3">
        <v>0</v>
      </c>
      <c r="I209" s="3">
        <v>642.32410000000004</v>
      </c>
      <c r="J209" s="3">
        <f t="shared" si="17"/>
        <v>642.32410000000004</v>
      </c>
    </row>
    <row r="210" spans="1:10" x14ac:dyDescent="0.2">
      <c r="C210" s="3">
        <f t="shared" ref="C210:I210" si="18">SUMPRODUCT($B$193:$B$209,C193:C209)</f>
        <v>4673953.9856000002</v>
      </c>
      <c r="D210" s="3">
        <f t="shared" si="18"/>
        <v>3821298.4729999998</v>
      </c>
      <c r="E210" s="3">
        <f t="shared" si="18"/>
        <v>5166050.1942000007</v>
      </c>
      <c r="F210" s="3">
        <f t="shared" si="18"/>
        <v>5654749.83715</v>
      </c>
      <c r="G210" s="3">
        <f t="shared" si="18"/>
        <v>6587955.0787000004</v>
      </c>
      <c r="H210" s="3">
        <f t="shared" si="18"/>
        <v>8048865.4646999994</v>
      </c>
      <c r="I210" s="3">
        <f t="shared" si="18"/>
        <v>8226096.3094000015</v>
      </c>
      <c r="J210" s="3">
        <f>SUMPRODUCT($B$80:$B$96,J193:J209)</f>
        <v>42178969.342750013</v>
      </c>
    </row>
    <row r="211" spans="1:10" x14ac:dyDescent="0.2">
      <c r="B211" t="s">
        <v>20</v>
      </c>
      <c r="C211" t="s">
        <v>3</v>
      </c>
      <c r="D211" s="2">
        <v>45969</v>
      </c>
    </row>
    <row r="213" spans="1:10" x14ac:dyDescent="0.2">
      <c r="B213" s="3" t="s">
        <v>7</v>
      </c>
      <c r="C213" s="3"/>
      <c r="D213" s="3"/>
      <c r="E213" s="3"/>
      <c r="F213" s="3"/>
      <c r="G213" s="3"/>
      <c r="H213" s="3"/>
      <c r="I213" s="3"/>
    </row>
    <row r="214" spans="1:10" x14ac:dyDescent="0.2">
      <c r="A214" t="s">
        <v>35</v>
      </c>
      <c r="C214" s="3" t="s">
        <v>8</v>
      </c>
      <c r="D214" s="3" t="s">
        <v>9</v>
      </c>
      <c r="E214" s="3" t="s">
        <v>10</v>
      </c>
      <c r="F214" s="3" t="s">
        <v>11</v>
      </c>
      <c r="G214" s="3" t="s">
        <v>12</v>
      </c>
      <c r="H214" s="3" t="s">
        <v>13</v>
      </c>
      <c r="I214" s="3" t="s">
        <v>14</v>
      </c>
      <c r="J214" s="3" t="s">
        <v>28</v>
      </c>
    </row>
    <row r="215" spans="1:10" x14ac:dyDescent="0.2">
      <c r="B215" s="3">
        <v>0</v>
      </c>
      <c r="C215" s="3">
        <v>516791.5</v>
      </c>
      <c r="D215" s="3">
        <v>305344.59999999998</v>
      </c>
      <c r="E215" s="3">
        <v>252799.5</v>
      </c>
      <c r="F215" s="3">
        <v>258891</v>
      </c>
      <c r="G215" s="3">
        <v>202034.9</v>
      </c>
      <c r="H215" s="3">
        <v>159973.9</v>
      </c>
      <c r="I215" s="3">
        <v>108854.7</v>
      </c>
      <c r="J215" s="3">
        <f>SUM(C215:I215)</f>
        <v>1804690.0999999999</v>
      </c>
    </row>
    <row r="216" spans="1:10" x14ac:dyDescent="0.2">
      <c r="B216" s="3">
        <v>1</v>
      </c>
      <c r="C216" s="3">
        <v>868783.3</v>
      </c>
      <c r="D216" s="3">
        <v>1373517</v>
      </c>
      <c r="E216" s="3">
        <v>901404</v>
      </c>
      <c r="F216" s="3">
        <v>737911.4</v>
      </c>
      <c r="G216" s="3">
        <v>531087</v>
      </c>
      <c r="H216" s="3">
        <v>446058.4</v>
      </c>
      <c r="I216" s="3">
        <v>240801</v>
      </c>
      <c r="J216" s="3">
        <f t="shared" ref="J216:J231" si="19">SUM(C216:I216)</f>
        <v>5099562.0999999996</v>
      </c>
    </row>
    <row r="217" spans="1:10" x14ac:dyDescent="0.2">
      <c r="B217" s="3">
        <v>2</v>
      </c>
      <c r="C217" s="3">
        <v>3389247</v>
      </c>
      <c r="D217" s="3">
        <v>2941345</v>
      </c>
      <c r="E217" s="3">
        <v>2144839</v>
      </c>
      <c r="F217" s="3">
        <v>1794448</v>
      </c>
      <c r="G217" s="3">
        <v>1559828</v>
      </c>
      <c r="H217" s="3">
        <v>1317141</v>
      </c>
      <c r="I217" s="3">
        <v>882942.9</v>
      </c>
      <c r="J217" s="3">
        <f t="shared" si="19"/>
        <v>14029790.9</v>
      </c>
    </row>
    <row r="218" spans="1:10" x14ac:dyDescent="0.2">
      <c r="B218" s="3">
        <v>3</v>
      </c>
      <c r="C218" s="3">
        <v>703643.3</v>
      </c>
      <c r="D218" s="3">
        <v>643422.30000000005</v>
      </c>
      <c r="E218" s="3">
        <v>638487.69999999995</v>
      </c>
      <c r="F218" s="3">
        <v>558737</v>
      </c>
      <c r="G218" s="3">
        <v>565246.69999999995</v>
      </c>
      <c r="H218" s="3">
        <v>539717</v>
      </c>
      <c r="I218" s="3">
        <v>327556.59999999998</v>
      </c>
      <c r="J218" s="3">
        <f t="shared" si="19"/>
        <v>3976810.6</v>
      </c>
    </row>
    <row r="219" spans="1:10" x14ac:dyDescent="0.2">
      <c r="B219" s="3">
        <v>4</v>
      </c>
      <c r="C219" s="3">
        <v>71092.58</v>
      </c>
      <c r="D219" s="3">
        <v>132671.9</v>
      </c>
      <c r="E219" s="3">
        <v>93241.63</v>
      </c>
      <c r="F219" s="3">
        <v>129452.9</v>
      </c>
      <c r="G219" s="3">
        <v>144013.70000000001</v>
      </c>
      <c r="H219" s="3">
        <v>182360.1</v>
      </c>
      <c r="I219" s="3">
        <v>109447.9</v>
      </c>
      <c r="J219" s="3">
        <f t="shared" si="19"/>
        <v>862280.71</v>
      </c>
    </row>
    <row r="220" spans="1:10" x14ac:dyDescent="0.2">
      <c r="B220" s="3">
        <v>5</v>
      </c>
      <c r="C220" s="3">
        <v>27676.3</v>
      </c>
      <c r="D220" s="3">
        <v>2744.547</v>
      </c>
      <c r="E220" s="3">
        <v>14904.99</v>
      </c>
      <c r="F220" s="3">
        <v>49115.76</v>
      </c>
      <c r="G220" s="3">
        <v>36023.1</v>
      </c>
      <c r="H220" s="3">
        <v>54391.35</v>
      </c>
      <c r="I220" s="3">
        <v>62819.65</v>
      </c>
      <c r="J220" s="3">
        <f t="shared" si="19"/>
        <v>247675.69700000001</v>
      </c>
    </row>
    <row r="221" spans="1:10" x14ac:dyDescent="0.2">
      <c r="B221" s="3">
        <v>6</v>
      </c>
      <c r="C221" s="3">
        <v>24070.38</v>
      </c>
      <c r="D221" s="3">
        <v>14251.36</v>
      </c>
      <c r="E221" s="3">
        <v>9849.5380000000005</v>
      </c>
      <c r="F221" s="3">
        <v>5496.1469999999999</v>
      </c>
      <c r="G221" s="3">
        <v>19590.46</v>
      </c>
      <c r="H221" s="3">
        <v>20437.62</v>
      </c>
      <c r="I221" s="3">
        <v>20506.400000000001</v>
      </c>
      <c r="J221" s="3">
        <f t="shared" si="19"/>
        <v>114201.905</v>
      </c>
    </row>
    <row r="222" spans="1:10" x14ac:dyDescent="0.2">
      <c r="B222" s="3">
        <v>7</v>
      </c>
      <c r="C222" s="3">
        <v>0</v>
      </c>
      <c r="D222" s="3">
        <v>0</v>
      </c>
      <c r="E222" s="3">
        <v>0</v>
      </c>
      <c r="F222" s="3">
        <v>0</v>
      </c>
      <c r="G222" s="3">
        <v>15134.06</v>
      </c>
      <c r="H222" s="3">
        <v>19940.080000000002</v>
      </c>
      <c r="I222" s="3">
        <v>4085.1559999999999</v>
      </c>
      <c r="J222" s="3">
        <f t="shared" si="19"/>
        <v>39159.296000000002</v>
      </c>
    </row>
    <row r="223" spans="1:10" x14ac:dyDescent="0.2">
      <c r="B223" s="3">
        <v>8</v>
      </c>
      <c r="C223" s="3">
        <v>0</v>
      </c>
      <c r="D223" s="3">
        <v>0</v>
      </c>
      <c r="E223" s="3">
        <v>0</v>
      </c>
      <c r="F223" s="3">
        <v>0</v>
      </c>
      <c r="G223" s="3">
        <v>10680.97</v>
      </c>
      <c r="H223" s="3">
        <v>0</v>
      </c>
      <c r="I223" s="3">
        <v>4992.7460000000001</v>
      </c>
      <c r="J223" s="3">
        <f t="shared" si="19"/>
        <v>15673.716</v>
      </c>
    </row>
    <row r="224" spans="1:10" x14ac:dyDescent="0.2">
      <c r="B224" s="3">
        <v>9</v>
      </c>
      <c r="C224" s="3">
        <v>0</v>
      </c>
      <c r="D224" s="3">
        <v>0</v>
      </c>
      <c r="E224" s="3">
        <v>0</v>
      </c>
      <c r="F224" s="3">
        <v>0</v>
      </c>
      <c r="G224" s="3">
        <v>0</v>
      </c>
      <c r="H224" s="3">
        <v>0</v>
      </c>
      <c r="I224" s="3">
        <v>0</v>
      </c>
      <c r="J224" s="3">
        <f t="shared" si="19"/>
        <v>0</v>
      </c>
    </row>
    <row r="225" spans="1:10" x14ac:dyDescent="0.2">
      <c r="B225" s="3">
        <v>10</v>
      </c>
      <c r="C225" s="3">
        <v>0</v>
      </c>
      <c r="D225" s="3">
        <v>0</v>
      </c>
      <c r="E225" s="3">
        <v>1351.2809999999999</v>
      </c>
      <c r="F225" s="3">
        <v>1671.615</v>
      </c>
      <c r="G225" s="3">
        <v>4413.3010000000004</v>
      </c>
      <c r="H225" s="3">
        <v>48.335970000000003</v>
      </c>
      <c r="I225" s="3">
        <v>37633.5</v>
      </c>
      <c r="J225" s="3">
        <f t="shared" si="19"/>
        <v>45118.03297</v>
      </c>
    </row>
    <row r="226" spans="1:10" x14ac:dyDescent="0.2">
      <c r="B226" s="3">
        <v>11</v>
      </c>
      <c r="C226" s="3">
        <v>0</v>
      </c>
      <c r="D226" s="3">
        <v>0</v>
      </c>
      <c r="E226" s="3">
        <v>0</v>
      </c>
      <c r="F226" s="3">
        <v>0</v>
      </c>
      <c r="G226" s="3">
        <v>0</v>
      </c>
      <c r="H226" s="3">
        <v>0</v>
      </c>
      <c r="I226" s="3">
        <v>0</v>
      </c>
      <c r="J226" s="3">
        <f t="shared" si="19"/>
        <v>0</v>
      </c>
    </row>
    <row r="227" spans="1:10" x14ac:dyDescent="0.2">
      <c r="B227" s="3">
        <v>12</v>
      </c>
      <c r="C227" s="3">
        <v>548.53610000000003</v>
      </c>
      <c r="D227" s="3">
        <v>0</v>
      </c>
      <c r="E227" s="3">
        <v>0</v>
      </c>
      <c r="F227" s="3">
        <v>0</v>
      </c>
      <c r="G227" s="3">
        <v>0</v>
      </c>
      <c r="H227" s="3">
        <v>8477.8979999999992</v>
      </c>
      <c r="I227" s="3">
        <v>8384.16</v>
      </c>
      <c r="J227" s="3">
        <f t="shared" si="19"/>
        <v>17410.594099999998</v>
      </c>
    </row>
    <row r="228" spans="1:10" x14ac:dyDescent="0.2">
      <c r="B228" s="3">
        <v>13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129.91239999999999</v>
      </c>
      <c r="J228" s="3">
        <f t="shared" si="19"/>
        <v>129.91239999999999</v>
      </c>
    </row>
    <row r="229" spans="1:10" x14ac:dyDescent="0.2">
      <c r="B229" s="3">
        <v>15</v>
      </c>
      <c r="C229" s="3">
        <v>0</v>
      </c>
      <c r="D229" s="3">
        <v>0</v>
      </c>
      <c r="E229" s="3">
        <v>0</v>
      </c>
      <c r="F229" s="3">
        <v>0</v>
      </c>
      <c r="G229" s="3">
        <v>2013.36</v>
      </c>
      <c r="H229" s="3">
        <v>0</v>
      </c>
      <c r="I229" s="3">
        <v>1621.4949999999999</v>
      </c>
      <c r="J229" s="3">
        <f t="shared" si="19"/>
        <v>3634.8549999999996</v>
      </c>
    </row>
    <row r="230" spans="1:10" x14ac:dyDescent="0.2">
      <c r="B230" s="3">
        <v>20</v>
      </c>
      <c r="C230" s="3">
        <v>0</v>
      </c>
      <c r="D230" s="3">
        <v>0</v>
      </c>
      <c r="E230" s="3">
        <v>0</v>
      </c>
      <c r="F230" s="3">
        <v>0</v>
      </c>
      <c r="G230" s="3">
        <v>0</v>
      </c>
      <c r="H230" s="3">
        <v>0</v>
      </c>
      <c r="I230" s="3">
        <v>0</v>
      </c>
      <c r="J230" s="3">
        <f t="shared" si="19"/>
        <v>0</v>
      </c>
    </row>
    <row r="231" spans="1:10" x14ac:dyDescent="0.2">
      <c r="B231" s="3">
        <v>24</v>
      </c>
      <c r="C231" s="3">
        <v>0</v>
      </c>
      <c r="D231" s="3">
        <v>0</v>
      </c>
      <c r="E231" s="3">
        <v>0</v>
      </c>
      <c r="F231" s="3">
        <v>0</v>
      </c>
      <c r="G231" s="3">
        <v>0</v>
      </c>
      <c r="H231" s="3">
        <v>0</v>
      </c>
      <c r="I231" s="3">
        <v>0</v>
      </c>
      <c r="J231" s="3">
        <f t="shared" si="19"/>
        <v>0</v>
      </c>
    </row>
    <row r="232" spans="1:10" x14ac:dyDescent="0.2">
      <c r="C232" s="3">
        <f t="shared" ref="C232:I232" si="20">SUMPRODUCT($B$215:$B$231,C215:C231)</f>
        <v>10331963.733199999</v>
      </c>
      <c r="D232" s="3">
        <f t="shared" si="20"/>
        <v>9816392.3949999996</v>
      </c>
      <c r="E232" s="3">
        <f t="shared" si="20"/>
        <v>7626646.6079999991</v>
      </c>
      <c r="F232" s="3">
        <f t="shared" si="20"/>
        <v>6816101.8320000004</v>
      </c>
      <c r="G232" s="3">
        <f t="shared" si="20"/>
        <v>6485915.7499999991</v>
      </c>
      <c r="H232" s="3">
        <f t="shared" si="20"/>
        <v>6065312.9656999996</v>
      </c>
      <c r="I232" s="3">
        <f t="shared" si="20"/>
        <v>4435779.1162</v>
      </c>
      <c r="J232" s="3">
        <f>SUMPRODUCT($B$80:$B$96,J215:J231)</f>
        <v>51578112.4001</v>
      </c>
    </row>
    <row r="233" spans="1:10" x14ac:dyDescent="0.2">
      <c r="B233" t="s">
        <v>20</v>
      </c>
      <c r="C233" t="s">
        <v>3</v>
      </c>
      <c r="D233" t="s">
        <v>22</v>
      </c>
    </row>
    <row r="235" spans="1:10" x14ac:dyDescent="0.2">
      <c r="B235" s="3" t="s">
        <v>7</v>
      </c>
      <c r="C235" s="3"/>
      <c r="D235" s="3"/>
      <c r="E235" s="3"/>
      <c r="F235" s="3"/>
      <c r="G235" s="3"/>
      <c r="H235" s="3"/>
      <c r="I235" s="3"/>
    </row>
    <row r="236" spans="1:10" x14ac:dyDescent="0.2">
      <c r="A236" t="s">
        <v>35</v>
      </c>
      <c r="C236" s="3" t="s">
        <v>8</v>
      </c>
      <c r="D236" s="3" t="s">
        <v>9</v>
      </c>
      <c r="E236" s="3" t="s">
        <v>10</v>
      </c>
      <c r="F236" s="3" t="s">
        <v>11</v>
      </c>
      <c r="G236" s="3" t="s">
        <v>12</v>
      </c>
      <c r="H236" s="3" t="s">
        <v>13</v>
      </c>
      <c r="I236" s="3" t="s">
        <v>14</v>
      </c>
      <c r="J236" s="3" t="s">
        <v>28</v>
      </c>
    </row>
    <row r="237" spans="1:10" x14ac:dyDescent="0.2">
      <c r="B237" s="3">
        <v>0</v>
      </c>
      <c r="C237" s="3">
        <v>11182.63</v>
      </c>
      <c r="D237" s="3">
        <v>37593.65</v>
      </c>
      <c r="E237" s="3">
        <v>45885.74</v>
      </c>
      <c r="F237" s="3">
        <v>75588.09</v>
      </c>
      <c r="G237" s="3">
        <v>43404.99</v>
      </c>
      <c r="H237" s="3">
        <v>47098.66</v>
      </c>
      <c r="I237" s="3">
        <v>72583.31</v>
      </c>
      <c r="J237" s="3">
        <f>SUM(C237:I237)</f>
        <v>333337.06999999995</v>
      </c>
    </row>
    <row r="238" spans="1:10" x14ac:dyDescent="0.2">
      <c r="B238" s="3">
        <v>1</v>
      </c>
      <c r="C238" s="3">
        <v>28214.3</v>
      </c>
      <c r="D238" s="3">
        <v>216515.9</v>
      </c>
      <c r="E238" s="3">
        <v>239074.1</v>
      </c>
      <c r="F238" s="3">
        <v>200332</v>
      </c>
      <c r="G238" s="3">
        <v>128867.3</v>
      </c>
      <c r="H238" s="3">
        <v>94408.76</v>
      </c>
      <c r="I238" s="3">
        <v>81643.22</v>
      </c>
      <c r="J238" s="3">
        <f t="shared" ref="J238:J253" si="21">SUM(C238:I238)</f>
        <v>989055.58000000007</v>
      </c>
    </row>
    <row r="239" spans="1:10" x14ac:dyDescent="0.2">
      <c r="B239" s="3">
        <v>2</v>
      </c>
      <c r="C239" s="3">
        <v>137558</v>
      </c>
      <c r="D239" s="3">
        <v>571375.80000000005</v>
      </c>
      <c r="E239" s="3">
        <v>733338.1</v>
      </c>
      <c r="F239" s="3">
        <v>596443.1</v>
      </c>
      <c r="G239" s="3">
        <v>662086</v>
      </c>
      <c r="H239" s="3">
        <v>493278.9</v>
      </c>
      <c r="I239" s="3">
        <v>400756.3</v>
      </c>
      <c r="J239" s="3">
        <f t="shared" si="21"/>
        <v>3594836.1999999997</v>
      </c>
    </row>
    <row r="240" spans="1:10" x14ac:dyDescent="0.2">
      <c r="B240" s="3">
        <v>3</v>
      </c>
      <c r="C240" s="3">
        <v>52532.7</v>
      </c>
      <c r="D240" s="3">
        <v>226042.3</v>
      </c>
      <c r="E240" s="3">
        <v>170101.3</v>
      </c>
      <c r="F240" s="3">
        <v>130772.8</v>
      </c>
      <c r="G240" s="3">
        <v>200624</v>
      </c>
      <c r="H240" s="3">
        <v>176455.3</v>
      </c>
      <c r="I240" s="3">
        <v>149472.4</v>
      </c>
      <c r="J240" s="3">
        <f t="shared" si="21"/>
        <v>1106000.7999999998</v>
      </c>
    </row>
    <row r="241" spans="1:10" x14ac:dyDescent="0.2">
      <c r="B241" s="3">
        <v>4</v>
      </c>
      <c r="C241" s="3">
        <v>2676.84</v>
      </c>
      <c r="D241" s="3">
        <v>6475.3770000000004</v>
      </c>
      <c r="E241" s="3">
        <v>11504.13</v>
      </c>
      <c r="F241" s="3">
        <v>27867.35</v>
      </c>
      <c r="G241" s="3">
        <v>61605.4</v>
      </c>
      <c r="H241" s="3">
        <v>77383.759999999995</v>
      </c>
      <c r="I241" s="3">
        <v>49532.18</v>
      </c>
      <c r="J241" s="3">
        <f t="shared" si="21"/>
        <v>237045.03700000001</v>
      </c>
    </row>
    <row r="242" spans="1:10" x14ac:dyDescent="0.2">
      <c r="B242" s="3">
        <v>5</v>
      </c>
      <c r="C242" s="3">
        <v>0</v>
      </c>
      <c r="D242" s="3">
        <v>0</v>
      </c>
      <c r="E242" s="3">
        <v>11024.69</v>
      </c>
      <c r="F242" s="3">
        <v>16394.95</v>
      </c>
      <c r="G242" s="3">
        <v>12056.73</v>
      </c>
      <c r="H242" s="3">
        <v>15269.77</v>
      </c>
      <c r="I242" s="3">
        <v>12057.33</v>
      </c>
      <c r="J242" s="3">
        <f t="shared" si="21"/>
        <v>66803.47</v>
      </c>
    </row>
    <row r="243" spans="1:10" x14ac:dyDescent="0.2">
      <c r="B243" s="3">
        <v>6</v>
      </c>
      <c r="C243" s="3">
        <v>0</v>
      </c>
      <c r="D243" s="3">
        <v>22413.41</v>
      </c>
      <c r="E243" s="3">
        <v>0</v>
      </c>
      <c r="F243" s="3">
        <v>5741.4930000000004</v>
      </c>
      <c r="G243" s="3">
        <v>0</v>
      </c>
      <c r="H243" s="3">
        <v>12657.93</v>
      </c>
      <c r="I243" s="3">
        <v>16119.01</v>
      </c>
      <c r="J243" s="3">
        <f t="shared" si="21"/>
        <v>56931.843000000001</v>
      </c>
    </row>
    <row r="244" spans="1:10" x14ac:dyDescent="0.2">
      <c r="B244" s="3">
        <v>7</v>
      </c>
      <c r="C244" s="3">
        <v>0</v>
      </c>
      <c r="D244" s="3">
        <v>0</v>
      </c>
      <c r="E244" s="3">
        <v>0</v>
      </c>
      <c r="F244" s="3">
        <v>0</v>
      </c>
      <c r="G244" s="3">
        <v>0</v>
      </c>
      <c r="H244" s="3">
        <v>0</v>
      </c>
      <c r="I244" s="3">
        <v>0</v>
      </c>
      <c r="J244" s="3">
        <f t="shared" si="21"/>
        <v>0</v>
      </c>
    </row>
    <row r="245" spans="1:10" x14ac:dyDescent="0.2">
      <c r="B245" s="3">
        <v>8</v>
      </c>
      <c r="C245" s="3">
        <v>0</v>
      </c>
      <c r="D245" s="3">
        <v>0</v>
      </c>
      <c r="E245" s="3">
        <v>0</v>
      </c>
      <c r="F245" s="3">
        <v>0</v>
      </c>
      <c r="G245" s="3">
        <v>0</v>
      </c>
      <c r="H245" s="3">
        <v>6604.8959999999997</v>
      </c>
      <c r="I245" s="3">
        <v>0</v>
      </c>
      <c r="J245" s="3">
        <f t="shared" si="21"/>
        <v>6604.8959999999997</v>
      </c>
    </row>
    <row r="246" spans="1:10" x14ac:dyDescent="0.2">
      <c r="B246" s="3">
        <v>9</v>
      </c>
      <c r="C246" s="3">
        <v>0</v>
      </c>
      <c r="D246" s="3">
        <v>0</v>
      </c>
      <c r="E246" s="3">
        <v>0</v>
      </c>
      <c r="F246" s="3">
        <v>0</v>
      </c>
      <c r="G246" s="3">
        <v>0</v>
      </c>
      <c r="H246" s="3">
        <v>4653.8239999999996</v>
      </c>
      <c r="I246" s="3">
        <v>0</v>
      </c>
      <c r="J246" s="3">
        <f t="shared" si="21"/>
        <v>4653.8239999999996</v>
      </c>
    </row>
    <row r="247" spans="1:10" x14ac:dyDescent="0.2">
      <c r="B247" s="3">
        <v>10</v>
      </c>
      <c r="C247" s="3">
        <v>0</v>
      </c>
      <c r="D247" s="3">
        <v>0</v>
      </c>
      <c r="E247" s="3">
        <v>0</v>
      </c>
      <c r="F247" s="3">
        <v>0</v>
      </c>
      <c r="G247" s="3">
        <v>0</v>
      </c>
      <c r="H247" s="3">
        <v>6464.2150000000001</v>
      </c>
      <c r="I247" s="3">
        <v>8755.9249999999993</v>
      </c>
      <c r="J247" s="3">
        <f t="shared" si="21"/>
        <v>15220.14</v>
      </c>
    </row>
    <row r="248" spans="1:10" x14ac:dyDescent="0.2">
      <c r="B248" s="3">
        <v>11</v>
      </c>
      <c r="C248" s="3">
        <v>0</v>
      </c>
      <c r="D248" s="3">
        <v>544.76130000000001</v>
      </c>
      <c r="E248" s="3">
        <v>0</v>
      </c>
      <c r="F248" s="3">
        <v>45402.64</v>
      </c>
      <c r="G248" s="3">
        <v>1608.538</v>
      </c>
      <c r="H248" s="3">
        <v>0</v>
      </c>
      <c r="I248" s="3">
        <v>0</v>
      </c>
      <c r="J248" s="3">
        <f t="shared" si="21"/>
        <v>47555.939299999998</v>
      </c>
    </row>
    <row r="249" spans="1:10" x14ac:dyDescent="0.2">
      <c r="B249" s="3">
        <v>12</v>
      </c>
      <c r="C249" s="3">
        <v>0</v>
      </c>
      <c r="D249" s="3">
        <v>0</v>
      </c>
      <c r="E249" s="3">
        <v>0</v>
      </c>
      <c r="F249" s="3">
        <v>1132.6099999999999</v>
      </c>
      <c r="G249" s="3">
        <v>0</v>
      </c>
      <c r="H249" s="3">
        <v>0</v>
      </c>
      <c r="I249" s="3">
        <v>568.2912</v>
      </c>
      <c r="J249" s="3">
        <f t="shared" si="21"/>
        <v>1700.9011999999998</v>
      </c>
    </row>
    <row r="250" spans="1:10" x14ac:dyDescent="0.2">
      <c r="B250" s="3">
        <v>13</v>
      </c>
      <c r="C250" s="3">
        <v>0</v>
      </c>
      <c r="D250" s="3">
        <v>0</v>
      </c>
      <c r="E250" s="3">
        <v>0</v>
      </c>
      <c r="F250" s="3">
        <v>0</v>
      </c>
      <c r="G250" s="3">
        <v>0</v>
      </c>
      <c r="H250" s="3">
        <v>0</v>
      </c>
      <c r="I250" s="3">
        <v>0</v>
      </c>
      <c r="J250" s="3">
        <f t="shared" si="21"/>
        <v>0</v>
      </c>
    </row>
    <row r="251" spans="1:10" x14ac:dyDescent="0.2">
      <c r="B251" s="3">
        <v>15</v>
      </c>
      <c r="C251" s="3">
        <v>0</v>
      </c>
      <c r="D251" s="3">
        <v>0</v>
      </c>
      <c r="E251" s="3">
        <v>0</v>
      </c>
      <c r="F251" s="3">
        <v>0</v>
      </c>
      <c r="G251" s="3">
        <v>0</v>
      </c>
      <c r="H251" s="3">
        <v>0</v>
      </c>
      <c r="I251" s="3">
        <v>0</v>
      </c>
      <c r="J251" s="3">
        <f t="shared" si="21"/>
        <v>0</v>
      </c>
    </row>
    <row r="252" spans="1:10" x14ac:dyDescent="0.2">
      <c r="B252" s="3">
        <v>20</v>
      </c>
      <c r="C252" s="3">
        <v>0</v>
      </c>
      <c r="D252" s="3">
        <v>0</v>
      </c>
      <c r="E252" s="3">
        <v>0</v>
      </c>
      <c r="F252" s="3">
        <v>0</v>
      </c>
      <c r="G252" s="3">
        <v>0</v>
      </c>
      <c r="H252" s="3">
        <v>0</v>
      </c>
      <c r="I252" s="3">
        <v>0</v>
      </c>
      <c r="J252" s="3">
        <f t="shared" si="21"/>
        <v>0</v>
      </c>
    </row>
    <row r="253" spans="1:10" x14ac:dyDescent="0.2">
      <c r="B253" s="3">
        <v>24</v>
      </c>
      <c r="C253" s="3">
        <v>0</v>
      </c>
      <c r="D253" s="3">
        <v>0</v>
      </c>
      <c r="E253" s="3">
        <v>0</v>
      </c>
      <c r="F253" s="3">
        <v>0</v>
      </c>
      <c r="G253" s="3">
        <v>0</v>
      </c>
      <c r="H253" s="3">
        <v>0</v>
      </c>
      <c r="I253" s="3">
        <v>0</v>
      </c>
      <c r="J253" s="3">
        <f t="shared" si="21"/>
        <v>0</v>
      </c>
    </row>
    <row r="254" spans="1:10" x14ac:dyDescent="0.2">
      <c r="C254" s="3">
        <f t="shared" ref="C254:I254" si="22">SUMPRODUCT($B$237:$B$253,C237:C253)</f>
        <v>471635.75999999995</v>
      </c>
      <c r="D254" s="3">
        <f t="shared" si="22"/>
        <v>2203768.7422999996</v>
      </c>
      <c r="E254" s="3">
        <f t="shared" si="22"/>
        <v>2317194.1700000004</v>
      </c>
      <c r="F254" s="3">
        <f t="shared" si="22"/>
        <v>2526450.068</v>
      </c>
      <c r="G254" s="3">
        <f t="shared" si="22"/>
        <v>2379310.4679999999</v>
      </c>
      <c r="H254" s="3">
        <f t="shared" si="22"/>
        <v>2231529.6640000003</v>
      </c>
      <c r="I254" s="3">
        <f t="shared" si="22"/>
        <v>1781081.1943999999</v>
      </c>
      <c r="J254" s="3">
        <f>SUMPRODUCT($B$80:$B$96,J237:J253)</f>
        <v>13910970.066699998</v>
      </c>
    </row>
    <row r="255" spans="1:10" s="10" customFormat="1" x14ac:dyDescent="0.2">
      <c r="A255" s="10" t="s">
        <v>0</v>
      </c>
    </row>
    <row r="256" spans="1:10" x14ac:dyDescent="0.2">
      <c r="A256" t="s">
        <v>0</v>
      </c>
      <c r="B256" t="s">
        <v>36</v>
      </c>
      <c r="C256" t="s">
        <v>44</v>
      </c>
    </row>
    <row r="257" spans="1:10" x14ac:dyDescent="0.2">
      <c r="A257" t="s">
        <v>0</v>
      </c>
      <c r="B257" t="s">
        <v>45</v>
      </c>
      <c r="C257" t="s">
        <v>2</v>
      </c>
      <c r="D257" t="s">
        <v>3</v>
      </c>
      <c r="E257" t="s">
        <v>4</v>
      </c>
    </row>
    <row r="258" spans="1:10" x14ac:dyDescent="0.2">
      <c r="B258" t="s">
        <v>24</v>
      </c>
      <c r="C258" t="s">
        <v>3</v>
      </c>
      <c r="D258" t="s">
        <v>25</v>
      </c>
    </row>
    <row r="260" spans="1:10" x14ac:dyDescent="0.2">
      <c r="B260" s="3" t="s">
        <v>7</v>
      </c>
      <c r="C260" s="3"/>
      <c r="D260" s="3"/>
      <c r="E260" s="3"/>
      <c r="F260" s="3"/>
      <c r="G260" s="3"/>
      <c r="H260" s="3"/>
      <c r="I260" s="3"/>
    </row>
    <row r="261" spans="1:10" x14ac:dyDescent="0.2">
      <c r="A261" t="s">
        <v>35</v>
      </c>
      <c r="C261" s="3" t="s">
        <v>8</v>
      </c>
      <c r="D261" s="3" t="s">
        <v>9</v>
      </c>
      <c r="E261" s="3" t="s">
        <v>10</v>
      </c>
      <c r="F261" s="3" t="s">
        <v>11</v>
      </c>
      <c r="G261" s="3" t="s">
        <v>12</v>
      </c>
      <c r="H261" s="3" t="s">
        <v>13</v>
      </c>
      <c r="I261" s="3" t="s">
        <v>14</v>
      </c>
      <c r="J261" s="3" t="s">
        <v>28</v>
      </c>
    </row>
    <row r="262" spans="1:10" x14ac:dyDescent="0.2">
      <c r="B262" s="3">
        <v>0</v>
      </c>
      <c r="C262" s="3">
        <v>155953.70000000001</v>
      </c>
      <c r="D262" s="3">
        <v>228234.9</v>
      </c>
      <c r="E262" s="3">
        <v>180435.7</v>
      </c>
      <c r="F262" s="3">
        <v>198534.1</v>
      </c>
      <c r="G262" s="3">
        <v>112518</v>
      </c>
      <c r="H262" s="3">
        <v>134935.20000000001</v>
      </c>
      <c r="I262" s="3">
        <v>156476.29999999999</v>
      </c>
      <c r="J262" s="3">
        <f>SUM(C262:I262)</f>
        <v>1167087.9000000001</v>
      </c>
    </row>
    <row r="263" spans="1:10" x14ac:dyDescent="0.2">
      <c r="B263" s="3">
        <v>1</v>
      </c>
      <c r="C263" s="3">
        <v>411279.2</v>
      </c>
      <c r="D263" s="3">
        <v>782220.6</v>
      </c>
      <c r="E263" s="3">
        <v>590548.30000000005</v>
      </c>
      <c r="F263" s="3">
        <v>437732.1</v>
      </c>
      <c r="G263" s="3">
        <v>392475.4</v>
      </c>
      <c r="H263" s="3">
        <v>344014.4</v>
      </c>
      <c r="I263" s="3">
        <v>320925.8</v>
      </c>
      <c r="J263" s="3">
        <f t="shared" ref="J263:J278" si="23">SUM(C263:I263)</f>
        <v>3279195.8</v>
      </c>
    </row>
    <row r="264" spans="1:10" x14ac:dyDescent="0.2">
      <c r="B264" s="3">
        <v>2</v>
      </c>
      <c r="C264" s="3">
        <v>1817970</v>
      </c>
      <c r="D264" s="3">
        <v>1713616</v>
      </c>
      <c r="E264" s="3">
        <v>1703444</v>
      </c>
      <c r="F264" s="3">
        <v>1524618</v>
      </c>
      <c r="G264" s="3">
        <v>1665300</v>
      </c>
      <c r="H264" s="3">
        <v>1522302</v>
      </c>
      <c r="I264" s="3">
        <v>1215847</v>
      </c>
      <c r="J264" s="3">
        <f t="shared" si="23"/>
        <v>11163097</v>
      </c>
    </row>
    <row r="265" spans="1:10" x14ac:dyDescent="0.2">
      <c r="B265" s="3">
        <v>3</v>
      </c>
      <c r="C265" s="3">
        <v>516396.6</v>
      </c>
      <c r="D265" s="3">
        <v>476402.5</v>
      </c>
      <c r="E265" s="3">
        <v>420973.2</v>
      </c>
      <c r="F265" s="3">
        <v>490553.5</v>
      </c>
      <c r="G265" s="3">
        <v>471898.8</v>
      </c>
      <c r="H265" s="3">
        <v>670350.30000000005</v>
      </c>
      <c r="I265" s="3">
        <v>505583.4</v>
      </c>
      <c r="J265" s="3">
        <f t="shared" si="23"/>
        <v>3552158.3000000003</v>
      </c>
    </row>
    <row r="266" spans="1:10" x14ac:dyDescent="0.2">
      <c r="B266" s="3">
        <v>4</v>
      </c>
      <c r="C266" s="3">
        <v>23803.51</v>
      </c>
      <c r="D266" s="3">
        <v>66403.570000000007</v>
      </c>
      <c r="E266" s="3">
        <v>56260.45</v>
      </c>
      <c r="F266" s="3">
        <v>86009.13</v>
      </c>
      <c r="G266" s="3">
        <v>158055</v>
      </c>
      <c r="H266" s="3">
        <v>182917.6</v>
      </c>
      <c r="I266" s="3">
        <v>212041.4</v>
      </c>
      <c r="J266" s="3">
        <f t="shared" si="23"/>
        <v>785490.66</v>
      </c>
    </row>
    <row r="267" spans="1:10" x14ac:dyDescent="0.2">
      <c r="B267" s="3">
        <v>5</v>
      </c>
      <c r="C267" s="3">
        <v>4590.6629999999996</v>
      </c>
      <c r="D267" s="3">
        <v>13569.68</v>
      </c>
      <c r="E267" s="3">
        <v>32713.16</v>
      </c>
      <c r="F267" s="3">
        <v>51067.59</v>
      </c>
      <c r="G267" s="3">
        <v>19791</v>
      </c>
      <c r="H267" s="3">
        <v>56464.49</v>
      </c>
      <c r="I267" s="3">
        <v>87891.17</v>
      </c>
      <c r="J267" s="3">
        <f t="shared" si="23"/>
        <v>266087.75299999997</v>
      </c>
    </row>
    <row r="268" spans="1:10" x14ac:dyDescent="0.2">
      <c r="B268" s="3">
        <v>6</v>
      </c>
      <c r="C268" s="3">
        <v>0</v>
      </c>
      <c r="D268" s="3">
        <v>25252.17</v>
      </c>
      <c r="E268" s="3">
        <v>9939.1839999999993</v>
      </c>
      <c r="F268" s="3">
        <v>11684.79</v>
      </c>
      <c r="G268" s="3">
        <v>18744.68</v>
      </c>
      <c r="H268" s="3">
        <v>33970.959999999999</v>
      </c>
      <c r="I268" s="3">
        <v>55156.91</v>
      </c>
      <c r="J268" s="3">
        <f t="shared" si="23"/>
        <v>154748.69399999999</v>
      </c>
    </row>
    <row r="269" spans="1:10" x14ac:dyDescent="0.2">
      <c r="B269" s="3">
        <v>7</v>
      </c>
      <c r="C269" s="3">
        <v>0</v>
      </c>
      <c r="D269" s="3">
        <v>0</v>
      </c>
      <c r="E269" s="3">
        <v>0</v>
      </c>
      <c r="F269" s="3">
        <v>258.53399999999999</v>
      </c>
      <c r="G269" s="3">
        <v>15134.06</v>
      </c>
      <c r="H269" s="3">
        <v>19940.080000000002</v>
      </c>
      <c r="I269" s="3">
        <v>15803.27</v>
      </c>
      <c r="J269" s="3">
        <f t="shared" si="23"/>
        <v>51135.944000000003</v>
      </c>
    </row>
    <row r="270" spans="1:10" x14ac:dyDescent="0.2">
      <c r="B270" s="3">
        <v>8</v>
      </c>
      <c r="C270" s="3">
        <v>1925.921</v>
      </c>
      <c r="D270" s="3">
        <v>0</v>
      </c>
      <c r="E270" s="3">
        <v>545.23720000000003</v>
      </c>
      <c r="F270" s="3">
        <v>208.1174</v>
      </c>
      <c r="G270" s="3">
        <v>9965.7119999999995</v>
      </c>
      <c r="H270" s="3">
        <v>8657.7659999999996</v>
      </c>
      <c r="I270" s="3">
        <v>8457.3829999999998</v>
      </c>
      <c r="J270" s="3">
        <f t="shared" si="23"/>
        <v>29760.136599999998</v>
      </c>
    </row>
    <row r="271" spans="1:10" x14ac:dyDescent="0.2">
      <c r="B271" s="3">
        <v>9</v>
      </c>
      <c r="C271" s="3">
        <v>0</v>
      </c>
      <c r="D271" s="3">
        <v>0</v>
      </c>
      <c r="E271" s="3">
        <v>0</v>
      </c>
      <c r="F271" s="3">
        <v>35.311349999999997</v>
      </c>
      <c r="G271" s="3">
        <v>0</v>
      </c>
      <c r="H271" s="3">
        <v>4653.8239999999996</v>
      </c>
      <c r="I271" s="3">
        <v>1552.097</v>
      </c>
      <c r="J271" s="3">
        <f t="shared" si="23"/>
        <v>6241.2323499999993</v>
      </c>
    </row>
    <row r="272" spans="1:10" x14ac:dyDescent="0.2">
      <c r="B272" s="3">
        <v>10</v>
      </c>
      <c r="C272" s="3">
        <v>0</v>
      </c>
      <c r="D272" s="3">
        <v>0</v>
      </c>
      <c r="E272" s="3">
        <v>0</v>
      </c>
      <c r="F272" s="3">
        <v>67.949690000000004</v>
      </c>
      <c r="G272" s="3">
        <v>4700.1329999999998</v>
      </c>
      <c r="H272" s="3">
        <v>4214.415</v>
      </c>
      <c r="I272" s="3">
        <v>25211.119999999999</v>
      </c>
      <c r="J272" s="3">
        <f t="shared" si="23"/>
        <v>34193.617689999999</v>
      </c>
    </row>
    <row r="273" spans="1:10" x14ac:dyDescent="0.2">
      <c r="B273" s="3">
        <v>11</v>
      </c>
      <c r="C273" s="3">
        <v>0</v>
      </c>
      <c r="D273" s="3">
        <v>544.76130000000001</v>
      </c>
      <c r="E273" s="3">
        <v>0</v>
      </c>
      <c r="F273" s="3">
        <v>45402.64</v>
      </c>
      <c r="G273" s="3">
        <v>1608.538</v>
      </c>
      <c r="H273" s="3">
        <v>0</v>
      </c>
      <c r="I273" s="3">
        <v>0</v>
      </c>
      <c r="J273" s="3">
        <f t="shared" si="23"/>
        <v>47555.939299999998</v>
      </c>
    </row>
    <row r="274" spans="1:10" x14ac:dyDescent="0.2">
      <c r="B274" s="3">
        <v>12</v>
      </c>
      <c r="C274" s="3">
        <v>0</v>
      </c>
      <c r="D274" s="3">
        <v>0</v>
      </c>
      <c r="E274" s="3">
        <v>0</v>
      </c>
      <c r="F274" s="3">
        <v>0</v>
      </c>
      <c r="G274" s="3">
        <v>0</v>
      </c>
      <c r="H274" s="3">
        <v>8477.8979999999992</v>
      </c>
      <c r="I274" s="3">
        <v>8248.7450000000008</v>
      </c>
      <c r="J274" s="3">
        <f t="shared" si="23"/>
        <v>16726.643</v>
      </c>
    </row>
    <row r="275" spans="1:10" x14ac:dyDescent="0.2">
      <c r="B275" s="3">
        <v>13</v>
      </c>
      <c r="C275" s="3">
        <v>0</v>
      </c>
      <c r="D275" s="3">
        <v>0</v>
      </c>
      <c r="E275" s="3">
        <v>0</v>
      </c>
      <c r="F275" s="3">
        <v>0</v>
      </c>
      <c r="G275" s="3">
        <v>0</v>
      </c>
      <c r="H275" s="3">
        <v>0</v>
      </c>
      <c r="I275" s="3">
        <v>0</v>
      </c>
      <c r="J275" s="3">
        <f t="shared" si="23"/>
        <v>0</v>
      </c>
    </row>
    <row r="276" spans="1:10" x14ac:dyDescent="0.2">
      <c r="B276" s="3">
        <v>15</v>
      </c>
      <c r="C276" s="3">
        <v>0</v>
      </c>
      <c r="D276" s="3">
        <v>0</v>
      </c>
      <c r="E276" s="3">
        <v>0</v>
      </c>
      <c r="F276" s="3">
        <v>0</v>
      </c>
      <c r="G276" s="3">
        <v>899.8587</v>
      </c>
      <c r="H276" s="3">
        <v>0</v>
      </c>
      <c r="I276" s="3">
        <v>0</v>
      </c>
      <c r="J276" s="3">
        <f t="shared" si="23"/>
        <v>899.8587</v>
      </c>
    </row>
    <row r="277" spans="1:10" x14ac:dyDescent="0.2">
      <c r="B277" s="3">
        <v>20</v>
      </c>
      <c r="C277" s="3">
        <v>0</v>
      </c>
      <c r="D277" s="3">
        <v>0</v>
      </c>
      <c r="E277" s="3">
        <v>0</v>
      </c>
      <c r="F277" s="3">
        <v>0</v>
      </c>
      <c r="G277" s="3">
        <v>0</v>
      </c>
      <c r="H277" s="3">
        <v>944.73090000000002</v>
      </c>
      <c r="I277" s="3">
        <v>0</v>
      </c>
      <c r="J277" s="3">
        <f t="shared" si="23"/>
        <v>944.73090000000002</v>
      </c>
    </row>
    <row r="278" spans="1:10" x14ac:dyDescent="0.2">
      <c r="B278" s="3">
        <v>24</v>
      </c>
      <c r="C278" s="3">
        <v>0</v>
      </c>
      <c r="D278" s="3">
        <v>0</v>
      </c>
      <c r="E278" s="3">
        <v>0</v>
      </c>
      <c r="F278" s="3">
        <v>0</v>
      </c>
      <c r="G278" s="3">
        <v>0</v>
      </c>
      <c r="H278" s="3">
        <v>0</v>
      </c>
      <c r="I278" s="3">
        <v>0</v>
      </c>
      <c r="J278" s="3">
        <f t="shared" si="23"/>
        <v>0</v>
      </c>
    </row>
    <row r="279" spans="1:10" x14ac:dyDescent="0.2">
      <c r="C279" s="3">
        <f t="shared" ref="C279:I279" si="24">SUMPRODUCT($B$262:$B$278,C262:C278)</f>
        <v>5729983.7230000002</v>
      </c>
      <c r="D279" s="3">
        <f t="shared" si="24"/>
        <v>6129628.1743000001</v>
      </c>
      <c r="E279" s="3">
        <f t="shared" si="24"/>
        <v>5712960.5016000001</v>
      </c>
      <c r="F279" s="3">
        <f t="shared" si="24"/>
        <v>6132012.826249999</v>
      </c>
      <c r="G279" s="3">
        <f t="shared" si="24"/>
        <v>6246272.124499999</v>
      </c>
      <c r="H279" s="3">
        <f t="shared" si="24"/>
        <v>7030988.5579999993</v>
      </c>
      <c r="I279" s="3">
        <f t="shared" si="24"/>
        <v>6431279.8769999994</v>
      </c>
      <c r="J279" s="3">
        <f>SUMPRODUCT($B$80:$B$96,J262:J278)</f>
        <v>43413125.784650005</v>
      </c>
    </row>
    <row r="280" spans="1:10" x14ac:dyDescent="0.2">
      <c r="B280" t="s">
        <v>24</v>
      </c>
      <c r="C280" t="s">
        <v>3</v>
      </c>
      <c r="D280" t="s">
        <v>26</v>
      </c>
    </row>
    <row r="282" spans="1:10" x14ac:dyDescent="0.2">
      <c r="B282" s="3" t="s">
        <v>7</v>
      </c>
      <c r="C282" s="3"/>
      <c r="D282" s="3"/>
      <c r="E282" s="3"/>
      <c r="F282" s="3"/>
      <c r="G282" s="3"/>
      <c r="H282" s="3"/>
      <c r="I282" s="3"/>
    </row>
    <row r="283" spans="1:10" x14ac:dyDescent="0.2">
      <c r="A283" t="s">
        <v>35</v>
      </c>
      <c r="C283" s="3" t="s">
        <v>8</v>
      </c>
      <c r="D283" s="3" t="s">
        <v>9</v>
      </c>
      <c r="E283" s="3" t="s">
        <v>10</v>
      </c>
      <c r="F283" s="3" t="s">
        <v>11</v>
      </c>
      <c r="G283" s="3" t="s">
        <v>12</v>
      </c>
      <c r="H283" s="3" t="s">
        <v>13</v>
      </c>
      <c r="I283" s="3" t="s">
        <v>14</v>
      </c>
      <c r="J283" s="3" t="s">
        <v>28</v>
      </c>
    </row>
    <row r="284" spans="1:10" x14ac:dyDescent="0.2">
      <c r="B284" s="3">
        <v>0</v>
      </c>
      <c r="C284" s="3">
        <v>511281.1</v>
      </c>
      <c r="D284" s="3">
        <v>262699</v>
      </c>
      <c r="E284" s="3">
        <v>209244.6</v>
      </c>
      <c r="F284" s="3">
        <v>264528.59999999998</v>
      </c>
      <c r="G284" s="3">
        <v>308102.59999999998</v>
      </c>
      <c r="H284" s="3">
        <v>251673.4</v>
      </c>
      <c r="I284" s="3">
        <v>273544.3</v>
      </c>
      <c r="J284" s="3">
        <f>SUM(C284:I284)</f>
        <v>2081073.5999999999</v>
      </c>
    </row>
    <row r="285" spans="1:10" x14ac:dyDescent="0.2">
      <c r="B285" s="3">
        <v>1</v>
      </c>
      <c r="C285" s="3">
        <v>970283.3</v>
      </c>
      <c r="D285" s="3">
        <v>1146048</v>
      </c>
      <c r="E285" s="3">
        <v>1005061</v>
      </c>
      <c r="F285" s="3">
        <v>748855.4</v>
      </c>
      <c r="G285" s="3">
        <v>588590.4</v>
      </c>
      <c r="H285" s="3">
        <v>481592.1</v>
      </c>
      <c r="I285" s="3">
        <v>451065.7</v>
      </c>
      <c r="J285" s="3">
        <f t="shared" ref="J285:J300" si="25">SUM(C285:I285)</f>
        <v>5391495.8999999994</v>
      </c>
    </row>
    <row r="286" spans="1:10" x14ac:dyDescent="0.2">
      <c r="B286" s="3">
        <v>2</v>
      </c>
      <c r="C286" s="3">
        <v>2531482</v>
      </c>
      <c r="D286" s="3">
        <v>2462955</v>
      </c>
      <c r="E286" s="3">
        <v>2328449</v>
      </c>
      <c r="F286" s="3">
        <v>1942718</v>
      </c>
      <c r="G286" s="3">
        <v>1603946</v>
      </c>
      <c r="H286" s="3">
        <v>1452573</v>
      </c>
      <c r="I286" s="3">
        <v>1126948</v>
      </c>
      <c r="J286" s="3">
        <f t="shared" si="25"/>
        <v>13449071</v>
      </c>
    </row>
    <row r="287" spans="1:10" x14ac:dyDescent="0.2">
      <c r="B287" s="3">
        <v>3</v>
      </c>
      <c r="C287" s="3">
        <v>532969.30000000005</v>
      </c>
      <c r="D287" s="3">
        <v>580162.4</v>
      </c>
      <c r="E287" s="3">
        <v>702002.9</v>
      </c>
      <c r="F287" s="3">
        <v>717805.3</v>
      </c>
      <c r="G287" s="3">
        <v>802032.2</v>
      </c>
      <c r="H287" s="3">
        <v>586929.30000000005</v>
      </c>
      <c r="I287" s="3">
        <v>471932.7</v>
      </c>
      <c r="J287" s="3">
        <f t="shared" si="25"/>
        <v>4393834.1000000006</v>
      </c>
    </row>
    <row r="288" spans="1:10" x14ac:dyDescent="0.2">
      <c r="B288" s="3">
        <v>4</v>
      </c>
      <c r="C288" s="3">
        <v>127839.1</v>
      </c>
      <c r="D288" s="3">
        <v>162093.9</v>
      </c>
      <c r="E288" s="3">
        <v>155553.70000000001</v>
      </c>
      <c r="F288" s="3">
        <v>206502.5</v>
      </c>
      <c r="G288" s="3">
        <v>346532.8</v>
      </c>
      <c r="H288" s="3">
        <v>375865.2</v>
      </c>
      <c r="I288" s="3">
        <v>301789.5</v>
      </c>
      <c r="J288" s="3">
        <f t="shared" si="25"/>
        <v>1676176.7</v>
      </c>
    </row>
    <row r="289" spans="2:10" x14ac:dyDescent="0.2">
      <c r="B289" s="3">
        <v>5</v>
      </c>
      <c r="C289" s="3">
        <v>59154</v>
      </c>
      <c r="D289" s="3">
        <v>30988.33</v>
      </c>
      <c r="E289" s="3">
        <v>12187.78</v>
      </c>
      <c r="F289" s="3">
        <v>69258.62</v>
      </c>
      <c r="G289" s="3">
        <v>82377.8</v>
      </c>
      <c r="H289" s="3">
        <v>181980.7</v>
      </c>
      <c r="I289" s="3">
        <v>103500.5</v>
      </c>
      <c r="J289" s="3">
        <f t="shared" si="25"/>
        <v>539447.73</v>
      </c>
    </row>
    <row r="290" spans="2:10" x14ac:dyDescent="0.2">
      <c r="B290" s="3">
        <v>6</v>
      </c>
      <c r="C290" s="3">
        <v>102.94459999999999</v>
      </c>
      <c r="D290" s="3">
        <v>14251.36</v>
      </c>
      <c r="E290" s="3">
        <v>10656.39</v>
      </c>
      <c r="F290" s="3">
        <v>16701.96</v>
      </c>
      <c r="G290" s="3">
        <v>39989.11</v>
      </c>
      <c r="H290" s="3">
        <v>72493.58</v>
      </c>
      <c r="I290" s="3">
        <v>107379.7</v>
      </c>
      <c r="J290" s="3">
        <f t="shared" si="25"/>
        <v>261575.04460000002</v>
      </c>
    </row>
    <row r="291" spans="2:10" x14ac:dyDescent="0.2">
      <c r="B291" s="3">
        <v>7</v>
      </c>
      <c r="C291" s="3">
        <v>0</v>
      </c>
      <c r="D291" s="3">
        <v>1563.7080000000001</v>
      </c>
      <c r="E291" s="3">
        <v>144.3586</v>
      </c>
      <c r="F291" s="3">
        <v>978.42949999999996</v>
      </c>
      <c r="G291" s="3">
        <v>9355.9989999999998</v>
      </c>
      <c r="H291" s="3">
        <v>19448.740000000002</v>
      </c>
      <c r="I291" s="3">
        <v>14208.8</v>
      </c>
      <c r="J291" s="3">
        <f t="shared" si="25"/>
        <v>45700.035100000001</v>
      </c>
    </row>
    <row r="292" spans="2:10" x14ac:dyDescent="0.2">
      <c r="B292" s="3">
        <v>8</v>
      </c>
      <c r="C292" s="3">
        <v>0</v>
      </c>
      <c r="D292" s="3">
        <v>825.24779999999998</v>
      </c>
      <c r="E292" s="3">
        <v>1511.5050000000001</v>
      </c>
      <c r="F292" s="3">
        <v>988.68010000000004</v>
      </c>
      <c r="G292" s="3">
        <v>15336.08</v>
      </c>
      <c r="H292" s="3">
        <v>24933.61</v>
      </c>
      <c r="I292" s="3">
        <v>31925.4</v>
      </c>
      <c r="J292" s="3">
        <f t="shared" si="25"/>
        <v>75520.522900000011</v>
      </c>
    </row>
    <row r="293" spans="2:10" x14ac:dyDescent="0.2">
      <c r="B293" s="3">
        <v>9</v>
      </c>
      <c r="C293" s="3">
        <v>0</v>
      </c>
      <c r="D293" s="3">
        <v>0</v>
      </c>
      <c r="E293" s="3">
        <v>0</v>
      </c>
      <c r="F293" s="3">
        <v>0</v>
      </c>
      <c r="G293" s="3">
        <v>1526.771</v>
      </c>
      <c r="H293" s="3">
        <v>5847.7060000000001</v>
      </c>
      <c r="I293" s="3">
        <v>732.77660000000003</v>
      </c>
      <c r="J293" s="3">
        <f t="shared" si="25"/>
        <v>8107.2536</v>
      </c>
    </row>
    <row r="294" spans="2:10" x14ac:dyDescent="0.2">
      <c r="B294" s="3">
        <v>10</v>
      </c>
      <c r="C294" s="3">
        <v>0</v>
      </c>
      <c r="D294" s="3">
        <v>611.17290000000003</v>
      </c>
      <c r="E294" s="3">
        <v>1351.2809999999999</v>
      </c>
      <c r="F294" s="3">
        <v>5250.7759999999998</v>
      </c>
      <c r="G294" s="3">
        <v>7430.5460000000003</v>
      </c>
      <c r="H294" s="3">
        <v>14327.29</v>
      </c>
      <c r="I294" s="3">
        <v>49486.62</v>
      </c>
      <c r="J294" s="3">
        <f t="shared" si="25"/>
        <v>78457.685900000011</v>
      </c>
    </row>
    <row r="295" spans="2:10" x14ac:dyDescent="0.2">
      <c r="B295" s="3">
        <v>11</v>
      </c>
      <c r="C295" s="3">
        <v>0</v>
      </c>
      <c r="D295" s="3">
        <v>0</v>
      </c>
      <c r="E295" s="3">
        <v>0</v>
      </c>
      <c r="F295" s="3">
        <v>0</v>
      </c>
      <c r="G295" s="3">
        <v>163.01220000000001</v>
      </c>
      <c r="H295" s="3">
        <v>164.31569999999999</v>
      </c>
      <c r="I295" s="3">
        <v>12268.85</v>
      </c>
      <c r="J295" s="3">
        <f t="shared" si="25"/>
        <v>12596.177900000001</v>
      </c>
    </row>
    <row r="296" spans="2:10" x14ac:dyDescent="0.2">
      <c r="B296" s="3">
        <v>12</v>
      </c>
      <c r="C296" s="3">
        <v>548.53610000000003</v>
      </c>
      <c r="D296" s="3">
        <v>0</v>
      </c>
      <c r="E296" s="3">
        <v>0</v>
      </c>
      <c r="F296" s="3">
        <v>1132.6099999999999</v>
      </c>
      <c r="G296" s="3">
        <v>8492.6810000000005</v>
      </c>
      <c r="H296" s="3">
        <v>308.43110000000001</v>
      </c>
      <c r="I296" s="3">
        <v>8598.4670000000006</v>
      </c>
      <c r="J296" s="3">
        <f t="shared" si="25"/>
        <v>19080.725200000001</v>
      </c>
    </row>
    <row r="297" spans="2:10" x14ac:dyDescent="0.2">
      <c r="B297" s="3">
        <v>13</v>
      </c>
      <c r="C297" s="3">
        <v>0</v>
      </c>
      <c r="D297" s="3">
        <v>0</v>
      </c>
      <c r="E297" s="3">
        <v>0</v>
      </c>
      <c r="F297" s="3">
        <v>0</v>
      </c>
      <c r="G297" s="3">
        <v>0</v>
      </c>
      <c r="H297" s="3">
        <v>0</v>
      </c>
      <c r="I297" s="3">
        <v>0</v>
      </c>
      <c r="J297" s="3">
        <f t="shared" si="25"/>
        <v>0</v>
      </c>
    </row>
    <row r="298" spans="2:10" x14ac:dyDescent="0.2">
      <c r="B298" s="3">
        <v>15</v>
      </c>
      <c r="C298" s="3">
        <v>0</v>
      </c>
      <c r="D298" s="3">
        <v>0</v>
      </c>
      <c r="E298" s="3">
        <v>0</v>
      </c>
      <c r="F298" s="3">
        <v>0</v>
      </c>
      <c r="G298" s="3">
        <v>2013.36</v>
      </c>
      <c r="H298" s="3">
        <v>0</v>
      </c>
      <c r="I298" s="3">
        <v>2378.3620000000001</v>
      </c>
      <c r="J298" s="3">
        <f t="shared" si="25"/>
        <v>4391.7219999999998</v>
      </c>
    </row>
    <row r="299" spans="2:10" x14ac:dyDescent="0.2">
      <c r="B299" s="3">
        <v>20</v>
      </c>
      <c r="C299" s="3">
        <v>0</v>
      </c>
      <c r="D299" s="3">
        <v>0</v>
      </c>
      <c r="E299" s="3">
        <v>0</v>
      </c>
      <c r="F299" s="3">
        <v>0</v>
      </c>
      <c r="G299" s="3">
        <v>0</v>
      </c>
      <c r="H299" s="3">
        <v>0</v>
      </c>
      <c r="I299" s="3">
        <v>718.59839999999997</v>
      </c>
      <c r="J299" s="3">
        <f t="shared" si="25"/>
        <v>718.59839999999997</v>
      </c>
    </row>
    <row r="300" spans="2:10" x14ac:dyDescent="0.2">
      <c r="B300" s="3">
        <v>24</v>
      </c>
      <c r="C300" s="3">
        <v>0</v>
      </c>
      <c r="D300" s="3">
        <v>0</v>
      </c>
      <c r="E300" s="3">
        <v>0</v>
      </c>
      <c r="F300" s="3">
        <v>0</v>
      </c>
      <c r="G300" s="3">
        <v>0</v>
      </c>
      <c r="H300" s="3">
        <v>0</v>
      </c>
      <c r="I300" s="3">
        <v>642.32410000000004</v>
      </c>
      <c r="J300" s="3">
        <f t="shared" si="25"/>
        <v>642.32410000000004</v>
      </c>
    </row>
    <row r="301" spans="2:10" x14ac:dyDescent="0.2">
      <c r="C301" s="3">
        <f t="shared" ref="C301:I301" si="26">SUMPRODUCT($B$284:$B$300,C284:C300)</f>
        <v>8446481.7008000016</v>
      </c>
      <c r="D301" s="3">
        <f t="shared" si="26"/>
        <v>8724930.2774000019</v>
      </c>
      <c r="E301" s="3">
        <f t="shared" si="26"/>
        <v>8541675.1001999993</v>
      </c>
      <c r="F301" s="3">
        <f t="shared" si="26"/>
        <v>8141079.6873000003</v>
      </c>
      <c r="G301" s="3">
        <f t="shared" si="26"/>
        <v>8650666.5982000008</v>
      </c>
      <c r="H301" s="3">
        <f t="shared" si="26"/>
        <v>8532872.7398999985</v>
      </c>
      <c r="I301" s="3">
        <f t="shared" si="26"/>
        <v>7649626.6198000014</v>
      </c>
      <c r="J301" s="3">
        <f>SUMPRODUCT($B$80:$B$96,J284:J300)</f>
        <v>58687332.723599993</v>
      </c>
    </row>
    <row r="302" spans="2:10" x14ac:dyDescent="0.2">
      <c r="B302" t="s">
        <v>24</v>
      </c>
      <c r="C302" t="s">
        <v>3</v>
      </c>
      <c r="D302" t="s">
        <v>27</v>
      </c>
    </row>
    <row r="304" spans="2:10" x14ac:dyDescent="0.2">
      <c r="B304" s="3" t="s">
        <v>7</v>
      </c>
      <c r="C304" s="3"/>
      <c r="D304" s="3"/>
      <c r="E304" s="3"/>
      <c r="F304" s="3"/>
      <c r="G304" s="3"/>
      <c r="H304" s="3"/>
      <c r="I304" s="3"/>
    </row>
    <row r="305" spans="1:10" x14ac:dyDescent="0.2">
      <c r="A305" t="s">
        <v>35</v>
      </c>
      <c r="C305" s="3" t="s">
        <v>8</v>
      </c>
      <c r="D305" s="3" t="s">
        <v>9</v>
      </c>
      <c r="E305" s="3" t="s">
        <v>10</v>
      </c>
      <c r="F305" s="3" t="s">
        <v>11</v>
      </c>
      <c r="G305" s="3" t="s">
        <v>12</v>
      </c>
      <c r="H305" s="3" t="s">
        <v>13</v>
      </c>
      <c r="I305" s="3" t="s">
        <v>14</v>
      </c>
      <c r="J305" s="3" t="s">
        <v>28</v>
      </c>
    </row>
    <row r="306" spans="1:10" x14ac:dyDescent="0.2">
      <c r="B306" s="3">
        <v>0</v>
      </c>
      <c r="C306" s="3">
        <v>29762.21</v>
      </c>
      <c r="D306" s="3">
        <v>35718.17</v>
      </c>
      <c r="E306" s="3">
        <v>54714.67</v>
      </c>
      <c r="F306" s="3">
        <v>31883.09</v>
      </c>
      <c r="G306" s="3">
        <v>63246.15</v>
      </c>
      <c r="H306" s="3">
        <v>9233.3729999999996</v>
      </c>
      <c r="I306" s="3">
        <v>22105.14</v>
      </c>
      <c r="J306" s="3">
        <f>SUM(C306:I306)</f>
        <v>246662.80299999996</v>
      </c>
    </row>
    <row r="307" spans="1:10" x14ac:dyDescent="0.2">
      <c r="B307" s="3">
        <v>1</v>
      </c>
      <c r="C307" s="3">
        <v>123906.8</v>
      </c>
      <c r="D307" s="3">
        <v>94188.03</v>
      </c>
      <c r="E307" s="3">
        <v>85416.85</v>
      </c>
      <c r="F307" s="3">
        <v>79354.11</v>
      </c>
      <c r="G307" s="3">
        <v>32553.48</v>
      </c>
      <c r="H307" s="3">
        <v>43407.32</v>
      </c>
      <c r="I307" s="3">
        <v>14235.26</v>
      </c>
      <c r="J307" s="3">
        <f t="shared" ref="J307:J322" si="27">SUM(C307:I307)</f>
        <v>473061.85000000003</v>
      </c>
    </row>
    <row r="308" spans="1:10" x14ac:dyDescent="0.2">
      <c r="B308" s="3">
        <v>2</v>
      </c>
      <c r="C308" s="3">
        <v>343347.7</v>
      </c>
      <c r="D308" s="3">
        <v>344235.8</v>
      </c>
      <c r="E308" s="3">
        <v>170289.5</v>
      </c>
      <c r="F308" s="3">
        <v>150028.29999999999</v>
      </c>
      <c r="G308" s="3">
        <v>160647.9</v>
      </c>
      <c r="H308" s="3">
        <v>107407.9</v>
      </c>
      <c r="I308" s="3">
        <v>90789.9</v>
      </c>
      <c r="J308" s="3">
        <f t="shared" si="27"/>
        <v>1366746.9999999998</v>
      </c>
    </row>
    <row r="309" spans="1:10" x14ac:dyDescent="0.2">
      <c r="B309" s="3">
        <v>3</v>
      </c>
      <c r="C309" s="3">
        <v>35044.79</v>
      </c>
      <c r="D309" s="3">
        <v>66946.31</v>
      </c>
      <c r="E309" s="3">
        <v>72565.03</v>
      </c>
      <c r="F309" s="3">
        <v>51083.74</v>
      </c>
      <c r="G309" s="3">
        <v>33129.53</v>
      </c>
      <c r="H309" s="3">
        <v>52711.93</v>
      </c>
      <c r="I309" s="3">
        <v>42103.54</v>
      </c>
      <c r="J309" s="3">
        <f t="shared" si="27"/>
        <v>353584.87</v>
      </c>
    </row>
    <row r="310" spans="1:10" x14ac:dyDescent="0.2">
      <c r="B310" s="3">
        <v>4</v>
      </c>
      <c r="C310" s="3">
        <v>27548.02</v>
      </c>
      <c r="D310" s="3">
        <v>864.60709999999995</v>
      </c>
      <c r="E310" s="3">
        <v>19034.64</v>
      </c>
      <c r="F310" s="3">
        <v>35657.17</v>
      </c>
      <c r="G310" s="3">
        <v>14873.65</v>
      </c>
      <c r="H310" s="3">
        <v>23891.35</v>
      </c>
      <c r="I310" s="3">
        <v>10383.94</v>
      </c>
      <c r="J310" s="3">
        <f t="shared" si="27"/>
        <v>132253.37709999998</v>
      </c>
    </row>
    <row r="311" spans="1:10" x14ac:dyDescent="0.2">
      <c r="B311" s="3">
        <v>5</v>
      </c>
      <c r="C311" s="3">
        <v>12084.73</v>
      </c>
      <c r="D311" s="3">
        <v>0</v>
      </c>
      <c r="E311" s="3">
        <v>3926.9789999999998</v>
      </c>
      <c r="F311" s="3">
        <v>1134.675</v>
      </c>
      <c r="G311" s="3">
        <v>7861.4859999999999</v>
      </c>
      <c r="H311" s="3">
        <v>4112.018</v>
      </c>
      <c r="I311" s="3">
        <v>7264.5150000000003</v>
      </c>
      <c r="J311" s="3">
        <f t="shared" si="27"/>
        <v>36384.402999999998</v>
      </c>
    </row>
    <row r="312" spans="1:10" x14ac:dyDescent="0.2">
      <c r="B312" s="3">
        <v>6</v>
      </c>
      <c r="C312" s="3">
        <v>24070.38</v>
      </c>
      <c r="D312" s="3">
        <v>0</v>
      </c>
      <c r="E312" s="3">
        <v>198.69370000000001</v>
      </c>
      <c r="F312" s="3">
        <v>999.74379999999996</v>
      </c>
      <c r="G312" s="3">
        <v>557.73320000000001</v>
      </c>
      <c r="H312" s="3">
        <v>2307.1089999999999</v>
      </c>
      <c r="I312" s="3">
        <v>8717.4130000000005</v>
      </c>
      <c r="J312" s="3">
        <f t="shared" si="27"/>
        <v>36851.072700000004</v>
      </c>
    </row>
    <row r="313" spans="1:10" x14ac:dyDescent="0.2">
      <c r="B313" s="3">
        <v>7</v>
      </c>
      <c r="C313" s="3">
        <v>0</v>
      </c>
      <c r="D313" s="3">
        <v>0</v>
      </c>
      <c r="E313" s="3">
        <v>0</v>
      </c>
      <c r="F313" s="3">
        <v>0</v>
      </c>
      <c r="G313" s="3">
        <v>0</v>
      </c>
      <c r="H313" s="3">
        <v>0</v>
      </c>
      <c r="I313" s="3">
        <v>298.95839999999998</v>
      </c>
      <c r="J313" s="3">
        <f t="shared" si="27"/>
        <v>298.95839999999998</v>
      </c>
    </row>
    <row r="314" spans="1:10" x14ac:dyDescent="0.2">
      <c r="B314" s="3">
        <v>8</v>
      </c>
      <c r="C314" s="3">
        <v>0</v>
      </c>
      <c r="D314" s="3">
        <v>657.24350000000004</v>
      </c>
      <c r="E314" s="3">
        <v>0</v>
      </c>
      <c r="F314" s="3">
        <v>0</v>
      </c>
      <c r="G314" s="3">
        <v>0</v>
      </c>
      <c r="H314" s="3">
        <v>971.18989999999997</v>
      </c>
      <c r="I314" s="3">
        <v>1456.078</v>
      </c>
      <c r="J314" s="3">
        <f t="shared" si="27"/>
        <v>3084.5113999999999</v>
      </c>
    </row>
    <row r="315" spans="1:10" x14ac:dyDescent="0.2">
      <c r="B315" s="3">
        <v>9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f t="shared" si="27"/>
        <v>0</v>
      </c>
    </row>
    <row r="316" spans="1:10" x14ac:dyDescent="0.2">
      <c r="B316" s="3">
        <v>10</v>
      </c>
      <c r="C316" s="3">
        <v>0</v>
      </c>
      <c r="D316" s="3">
        <v>0</v>
      </c>
      <c r="E316" s="3">
        <v>3241.2240000000002</v>
      </c>
      <c r="F316" s="3">
        <v>1671.615</v>
      </c>
      <c r="G316" s="3">
        <v>0</v>
      </c>
      <c r="H316" s="3">
        <v>3515.4580000000001</v>
      </c>
      <c r="I316" s="3">
        <v>1320.97</v>
      </c>
      <c r="J316" s="3">
        <f t="shared" si="27"/>
        <v>9749.2669999999998</v>
      </c>
    </row>
    <row r="317" spans="1:10" x14ac:dyDescent="0.2">
      <c r="B317" s="3">
        <v>11</v>
      </c>
      <c r="C317" s="3">
        <v>0</v>
      </c>
      <c r="D317" s="3">
        <v>0</v>
      </c>
      <c r="E317" s="3">
        <v>0</v>
      </c>
      <c r="F317" s="3">
        <v>0</v>
      </c>
      <c r="G317" s="3">
        <v>0</v>
      </c>
      <c r="H317" s="3">
        <v>0</v>
      </c>
      <c r="I317" s="3">
        <v>0</v>
      </c>
      <c r="J317" s="3">
        <f t="shared" si="27"/>
        <v>0</v>
      </c>
    </row>
    <row r="318" spans="1:10" x14ac:dyDescent="0.2">
      <c r="B318" s="3">
        <v>12</v>
      </c>
      <c r="C318" s="3">
        <v>0</v>
      </c>
      <c r="D318" s="3">
        <v>0</v>
      </c>
      <c r="E318" s="3">
        <v>2791.2849999999999</v>
      </c>
      <c r="F318" s="3">
        <v>0</v>
      </c>
      <c r="G318" s="3">
        <v>0</v>
      </c>
      <c r="H318" s="3">
        <v>11485</v>
      </c>
      <c r="I318" s="3">
        <v>0</v>
      </c>
      <c r="J318" s="3">
        <f t="shared" si="27"/>
        <v>14276.285</v>
      </c>
    </row>
    <row r="319" spans="1:10" x14ac:dyDescent="0.2">
      <c r="B319" s="3">
        <v>13</v>
      </c>
      <c r="C319" s="3">
        <v>0</v>
      </c>
      <c r="D319" s="3">
        <v>0</v>
      </c>
      <c r="E319" s="3">
        <v>0</v>
      </c>
      <c r="F319" s="3">
        <v>0</v>
      </c>
      <c r="G319" s="3">
        <v>0</v>
      </c>
      <c r="H319" s="3">
        <v>0</v>
      </c>
      <c r="I319" s="3">
        <v>129.91239999999999</v>
      </c>
      <c r="J319" s="3">
        <f t="shared" si="27"/>
        <v>129.91239999999999</v>
      </c>
    </row>
    <row r="320" spans="1:10" x14ac:dyDescent="0.2">
      <c r="B320" s="3">
        <v>15</v>
      </c>
      <c r="C320" s="3">
        <v>0</v>
      </c>
      <c r="D320" s="3">
        <v>0</v>
      </c>
      <c r="E320" s="3">
        <v>0</v>
      </c>
      <c r="F320" s="3">
        <v>0</v>
      </c>
      <c r="G320" s="3">
        <v>0</v>
      </c>
      <c r="H320" s="3">
        <v>0</v>
      </c>
      <c r="I320" s="3">
        <v>0</v>
      </c>
      <c r="J320" s="3">
        <f t="shared" si="27"/>
        <v>0</v>
      </c>
    </row>
    <row r="321" spans="2:10" x14ac:dyDescent="0.2">
      <c r="B321" s="3">
        <v>20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f t="shared" si="27"/>
        <v>0</v>
      </c>
    </row>
    <row r="322" spans="2:10" x14ac:dyDescent="0.2">
      <c r="B322" s="3">
        <v>24</v>
      </c>
      <c r="C322" s="3">
        <v>0</v>
      </c>
      <c r="D322" s="3">
        <v>0</v>
      </c>
      <c r="E322" s="3">
        <v>0</v>
      </c>
      <c r="F322" s="3">
        <v>0</v>
      </c>
      <c r="G322" s="3">
        <v>0</v>
      </c>
      <c r="H322" s="3">
        <v>0</v>
      </c>
      <c r="I322" s="3">
        <v>0</v>
      </c>
      <c r="J322" s="3">
        <f t="shared" si="27"/>
        <v>0</v>
      </c>
    </row>
    <row r="323" spans="2:10" x14ac:dyDescent="0.2">
      <c r="C323" s="3">
        <f t="shared" ref="C323:I323" si="28">SUMPRODUCT($B$306:$B$322,C306:C322)</f>
        <v>1230774.58</v>
      </c>
      <c r="D323" s="3">
        <f t="shared" si="28"/>
        <v>992214.93640000001</v>
      </c>
      <c r="E323" s="3">
        <f t="shared" si="28"/>
        <v>806564.21720000007</v>
      </c>
      <c r="F323" s="3">
        <f t="shared" si="28"/>
        <v>703678.59779999987</v>
      </c>
      <c r="G323" s="3">
        <f t="shared" si="28"/>
        <v>555386.29920000001</v>
      </c>
      <c r="H323" s="3">
        <f t="shared" si="28"/>
        <v>727071.15319999994</v>
      </c>
      <c r="I323" s="3">
        <f t="shared" si="28"/>
        <v>480928.38700000005</v>
      </c>
      <c r="J323" s="3">
        <f>SUMPRODUCT($B$80:$B$96,J306:J322)</f>
        <v>5496618.1707999986</v>
      </c>
    </row>
  </sheetData>
  <pageMargins left="0.511811024" right="0.511811024" top="0.78740157499999996" bottom="0.78740157499999996" header="0.31496062000000002" footer="0.31496062000000002"/>
  <ignoredErrors>
    <ignoredError sqref="J5:J21 J32:J48" formulaRange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A653-2CAA-584F-A2EB-E59C6BD68162}">
  <dimension ref="A1:N142"/>
  <sheetViews>
    <sheetView tabSelected="1" topLeftCell="A121" zoomScale="119" workbookViewId="0">
      <selection activeCell="O122" sqref="O122"/>
    </sheetView>
  </sheetViews>
  <sheetFormatPr baseColWidth="10" defaultRowHeight="16" x14ac:dyDescent="0.2"/>
  <cols>
    <col min="13" max="14" width="10.83203125" style="8"/>
  </cols>
  <sheetData>
    <row r="1" spans="1:14" x14ac:dyDescent="0.2">
      <c r="A1" t="s">
        <v>252</v>
      </c>
      <c r="G1" t="s">
        <v>251</v>
      </c>
    </row>
    <row r="2" spans="1:14" x14ac:dyDescent="0.2">
      <c r="A2" t="s">
        <v>247</v>
      </c>
      <c r="B2" t="s">
        <v>223</v>
      </c>
      <c r="C2" t="s">
        <v>247</v>
      </c>
      <c r="G2" t="s">
        <v>247</v>
      </c>
      <c r="H2" t="s">
        <v>223</v>
      </c>
      <c r="I2" t="s">
        <v>247</v>
      </c>
    </row>
    <row r="3" spans="1:14" ht="51" x14ac:dyDescent="0.2">
      <c r="B3" t="s">
        <v>7</v>
      </c>
      <c r="C3" t="s">
        <v>248</v>
      </c>
      <c r="D3" t="s">
        <v>249</v>
      </c>
      <c r="E3" t="s">
        <v>250</v>
      </c>
      <c r="H3" t="s">
        <v>7</v>
      </c>
      <c r="I3" t="s">
        <v>248</v>
      </c>
      <c r="J3" t="s">
        <v>249</v>
      </c>
      <c r="K3" t="s">
        <v>250</v>
      </c>
      <c r="L3" s="5" t="s">
        <v>253</v>
      </c>
      <c r="M3" s="25" t="s">
        <v>72</v>
      </c>
      <c r="N3" s="5" t="s">
        <v>73</v>
      </c>
    </row>
    <row r="4" spans="1:14" x14ac:dyDescent="0.2">
      <c r="A4">
        <v>1</v>
      </c>
      <c r="B4" t="s">
        <v>8</v>
      </c>
      <c r="C4">
        <v>15571472</v>
      </c>
      <c r="D4">
        <v>8334322</v>
      </c>
      <c r="E4">
        <v>1.87</v>
      </c>
      <c r="G4">
        <v>1</v>
      </c>
      <c r="H4" t="s">
        <v>8</v>
      </c>
      <c r="I4">
        <v>1563929</v>
      </c>
      <c r="J4">
        <v>8417796</v>
      </c>
      <c r="K4">
        <v>0.19</v>
      </c>
      <c r="L4" s="5" t="str">
        <f t="shared" ref="L4:L9" si="0">H4</f>
        <v>&lt;20</v>
      </c>
      <c r="M4" s="116">
        <f t="shared" ref="M4:M9" si="1">K4</f>
        <v>0.19</v>
      </c>
      <c r="N4" s="116">
        <f t="shared" ref="N4:N9" si="2">E4-K4</f>
        <v>1.6800000000000002</v>
      </c>
    </row>
    <row r="5" spans="1:14" x14ac:dyDescent="0.2">
      <c r="A5">
        <v>2</v>
      </c>
      <c r="B5" t="s">
        <v>9</v>
      </c>
      <c r="C5">
        <v>16012288</v>
      </c>
      <c r="D5">
        <v>8577949</v>
      </c>
      <c r="E5">
        <v>1.87</v>
      </c>
      <c r="G5">
        <v>2</v>
      </c>
      <c r="H5" t="s">
        <v>9</v>
      </c>
      <c r="I5">
        <v>6432838</v>
      </c>
      <c r="J5">
        <v>8660654</v>
      </c>
      <c r="K5">
        <v>0.74</v>
      </c>
      <c r="L5" s="5" t="str">
        <f t="shared" si="0"/>
        <v>20-24</v>
      </c>
      <c r="M5" s="116">
        <f t="shared" si="1"/>
        <v>0.74</v>
      </c>
      <c r="N5" s="116">
        <f t="shared" si="2"/>
        <v>1.1300000000000001</v>
      </c>
    </row>
    <row r="6" spans="1:14" x14ac:dyDescent="0.2">
      <c r="A6">
        <v>3</v>
      </c>
      <c r="B6" t="s">
        <v>10</v>
      </c>
      <c r="C6">
        <v>15231032</v>
      </c>
      <c r="D6">
        <v>7931899</v>
      </c>
      <c r="E6">
        <v>1.92</v>
      </c>
      <c r="G6">
        <v>3</v>
      </c>
      <c r="H6" t="s">
        <v>10</v>
      </c>
      <c r="I6">
        <v>10195865</v>
      </c>
      <c r="J6">
        <v>8023502</v>
      </c>
      <c r="K6">
        <v>1.27</v>
      </c>
      <c r="L6" s="5" t="str">
        <f t="shared" si="0"/>
        <v>25-29</v>
      </c>
      <c r="M6" s="116">
        <f t="shared" si="1"/>
        <v>1.27</v>
      </c>
      <c r="N6" s="116">
        <f t="shared" si="2"/>
        <v>0.64999999999999991</v>
      </c>
    </row>
    <row r="7" spans="1:14" x14ac:dyDescent="0.2">
      <c r="A7">
        <v>4</v>
      </c>
      <c r="B7" t="s">
        <v>11</v>
      </c>
      <c r="C7">
        <v>15081102</v>
      </c>
      <c r="D7">
        <v>7229052</v>
      </c>
      <c r="E7">
        <v>2.09</v>
      </c>
      <c r="G7">
        <v>4</v>
      </c>
      <c r="H7" t="s">
        <v>11</v>
      </c>
      <c r="I7">
        <v>13182189</v>
      </c>
      <c r="J7">
        <v>7276364</v>
      </c>
      <c r="K7">
        <v>1.81</v>
      </c>
      <c r="L7" s="5" t="str">
        <f t="shared" si="0"/>
        <v>30-34</v>
      </c>
      <c r="M7" s="116">
        <f t="shared" si="1"/>
        <v>1.81</v>
      </c>
      <c r="N7" s="116">
        <f t="shared" si="2"/>
        <v>0.2799999999999998</v>
      </c>
    </row>
    <row r="8" spans="1:14" x14ac:dyDescent="0.2">
      <c r="A8">
        <v>5</v>
      </c>
      <c r="B8" t="s">
        <v>12</v>
      </c>
      <c r="C8">
        <v>15545170</v>
      </c>
      <c r="D8">
        <v>7052850</v>
      </c>
      <c r="E8">
        <v>2.2000000000000002</v>
      </c>
      <c r="G8">
        <v>5</v>
      </c>
      <c r="H8" t="s">
        <v>12</v>
      </c>
      <c r="I8">
        <v>14598846</v>
      </c>
      <c r="J8">
        <v>7097828</v>
      </c>
      <c r="K8">
        <v>2.06</v>
      </c>
      <c r="L8" s="5" t="str">
        <f t="shared" si="0"/>
        <v>35-39</v>
      </c>
      <c r="M8" s="116">
        <f t="shared" si="1"/>
        <v>2.06</v>
      </c>
      <c r="N8" s="116">
        <f t="shared" si="2"/>
        <v>0.14000000000000012</v>
      </c>
    </row>
    <row r="9" spans="1:14" x14ac:dyDescent="0.2">
      <c r="A9">
        <v>6</v>
      </c>
      <c r="B9" t="s">
        <v>13</v>
      </c>
      <c r="C9">
        <v>16503959</v>
      </c>
      <c r="D9">
        <v>6810948</v>
      </c>
      <c r="E9">
        <v>2.42</v>
      </c>
      <c r="G9">
        <v>6</v>
      </c>
      <c r="H9" t="s">
        <v>13</v>
      </c>
      <c r="I9">
        <v>16549205</v>
      </c>
      <c r="J9">
        <v>6947801</v>
      </c>
      <c r="K9">
        <v>2.38</v>
      </c>
      <c r="L9" s="5" t="str">
        <f t="shared" si="0"/>
        <v>40-44</v>
      </c>
      <c r="M9" s="116">
        <f t="shared" si="1"/>
        <v>2.38</v>
      </c>
      <c r="N9" s="116">
        <f t="shared" si="2"/>
        <v>4.0000000000000036E-2</v>
      </c>
    </row>
    <row r="11" spans="1:14" x14ac:dyDescent="0.2">
      <c r="A11" t="s">
        <v>247</v>
      </c>
      <c r="B11" t="s">
        <v>238</v>
      </c>
      <c r="C11" t="s">
        <v>247</v>
      </c>
      <c r="G11" t="s">
        <v>247</v>
      </c>
      <c r="H11" t="s">
        <v>238</v>
      </c>
      <c r="I11" t="s">
        <v>247</v>
      </c>
    </row>
    <row r="12" spans="1:14" ht="51" x14ac:dyDescent="0.2">
      <c r="B12" t="s">
        <v>7</v>
      </c>
      <c r="C12" t="s">
        <v>248</v>
      </c>
      <c r="D12" t="s">
        <v>249</v>
      </c>
      <c r="E12" t="s">
        <v>250</v>
      </c>
      <c r="H12" t="s">
        <v>7</v>
      </c>
      <c r="I12" t="s">
        <v>248</v>
      </c>
      <c r="J12" t="s">
        <v>249</v>
      </c>
      <c r="K12" t="s">
        <v>250</v>
      </c>
      <c r="L12" s="5" t="s">
        <v>253</v>
      </c>
      <c r="M12" s="25" t="s">
        <v>72</v>
      </c>
      <c r="N12" s="5" t="s">
        <v>73</v>
      </c>
    </row>
    <row r="13" spans="1:14" x14ac:dyDescent="0.2">
      <c r="A13">
        <v>1</v>
      </c>
      <c r="B13" t="s">
        <v>8</v>
      </c>
      <c r="C13">
        <v>16675.11</v>
      </c>
      <c r="D13">
        <v>8337.5550000000003</v>
      </c>
      <c r="E13">
        <v>2</v>
      </c>
      <c r="G13">
        <v>1</v>
      </c>
      <c r="H13" t="s">
        <v>8</v>
      </c>
      <c r="I13">
        <v>8337.5550000000003</v>
      </c>
      <c r="J13">
        <v>8337.5550000000003</v>
      </c>
      <c r="K13">
        <v>1</v>
      </c>
      <c r="L13" s="5" t="str">
        <f t="shared" ref="L13:L18" si="3">H13</f>
        <v>&lt;20</v>
      </c>
      <c r="M13" s="116">
        <f t="shared" ref="M13:M18" si="4">K13</f>
        <v>1</v>
      </c>
      <c r="N13" s="116">
        <f t="shared" ref="N13:N18" si="5">E13-K13</f>
        <v>1</v>
      </c>
    </row>
    <row r="14" spans="1:14" x14ac:dyDescent="0.2">
      <c r="A14">
        <v>2</v>
      </c>
      <c r="B14" t="s">
        <v>9</v>
      </c>
      <c r="C14">
        <v>125980.92</v>
      </c>
      <c r="D14">
        <v>78689.145000000004</v>
      </c>
      <c r="E14">
        <v>1.6</v>
      </c>
      <c r="G14">
        <v>2</v>
      </c>
      <c r="H14" t="s">
        <v>9</v>
      </c>
      <c r="I14">
        <v>38176.675000000003</v>
      </c>
      <c r="J14">
        <v>78689.145000000004</v>
      </c>
      <c r="K14">
        <v>0.49</v>
      </c>
      <c r="L14" s="5" t="str">
        <f t="shared" si="3"/>
        <v>20-24</v>
      </c>
      <c r="M14" s="116">
        <f t="shared" si="4"/>
        <v>0.49</v>
      </c>
      <c r="N14" s="116">
        <f t="shared" si="5"/>
        <v>1.1100000000000001</v>
      </c>
    </row>
    <row r="15" spans="1:14" x14ac:dyDescent="0.2">
      <c r="A15">
        <v>3</v>
      </c>
      <c r="B15" t="s">
        <v>10</v>
      </c>
      <c r="C15">
        <v>254515.05</v>
      </c>
      <c r="D15">
        <v>127565.599</v>
      </c>
      <c r="E15">
        <v>2</v>
      </c>
      <c r="G15">
        <v>3</v>
      </c>
      <c r="H15" t="s">
        <v>10</v>
      </c>
      <c r="I15">
        <v>146451.03599999999</v>
      </c>
      <c r="J15">
        <v>135148.432</v>
      </c>
      <c r="K15">
        <v>1.08</v>
      </c>
      <c r="L15" s="5" t="str">
        <f t="shared" si="3"/>
        <v>25-29</v>
      </c>
      <c r="M15" s="116">
        <f t="shared" si="4"/>
        <v>1.08</v>
      </c>
      <c r="N15" s="116">
        <f t="shared" si="5"/>
        <v>0.91999999999999993</v>
      </c>
    </row>
    <row r="16" spans="1:14" x14ac:dyDescent="0.2">
      <c r="A16">
        <v>4</v>
      </c>
      <c r="B16" t="s">
        <v>11</v>
      </c>
      <c r="C16">
        <v>417089.77</v>
      </c>
      <c r="D16">
        <v>203600.092</v>
      </c>
      <c r="E16">
        <v>2.0499999999999998</v>
      </c>
      <c r="G16">
        <v>4</v>
      </c>
      <c r="H16" t="s">
        <v>11</v>
      </c>
      <c r="I16">
        <v>216718.63</v>
      </c>
      <c r="J16">
        <v>203600.092</v>
      </c>
      <c r="K16">
        <v>1.06</v>
      </c>
      <c r="L16" s="5" t="str">
        <f t="shared" si="3"/>
        <v>30-34</v>
      </c>
      <c r="M16" s="116">
        <f t="shared" si="4"/>
        <v>1.06</v>
      </c>
      <c r="N16" s="116">
        <f t="shared" si="5"/>
        <v>0.98999999999999977</v>
      </c>
    </row>
    <row r="17" spans="1:14" x14ac:dyDescent="0.2">
      <c r="A17">
        <v>5</v>
      </c>
      <c r="B17" t="s">
        <v>12</v>
      </c>
      <c r="C17">
        <v>471876.98</v>
      </c>
      <c r="D17">
        <v>248938.43100000001</v>
      </c>
      <c r="E17">
        <v>1.9</v>
      </c>
      <c r="G17">
        <v>5</v>
      </c>
      <c r="H17" t="s">
        <v>12</v>
      </c>
      <c r="I17">
        <v>314060.39500000002</v>
      </c>
      <c r="J17">
        <v>249347.41800000001</v>
      </c>
      <c r="K17">
        <v>1.26</v>
      </c>
      <c r="L17" s="5" t="str">
        <f t="shared" si="3"/>
        <v>35-39</v>
      </c>
      <c r="M17" s="116">
        <f t="shared" si="4"/>
        <v>1.26</v>
      </c>
      <c r="N17" s="116">
        <f t="shared" si="5"/>
        <v>0.6399999999999999</v>
      </c>
    </row>
    <row r="18" spans="1:14" x14ac:dyDescent="0.2">
      <c r="A18">
        <v>6</v>
      </c>
      <c r="B18" t="s">
        <v>13</v>
      </c>
      <c r="C18">
        <v>886844.37</v>
      </c>
      <c r="D18">
        <v>353650.17499999999</v>
      </c>
      <c r="E18">
        <v>2.5099999999999998</v>
      </c>
      <c r="G18">
        <v>6</v>
      </c>
      <c r="H18" t="s">
        <v>13</v>
      </c>
      <c r="I18">
        <v>654873.30500000005</v>
      </c>
      <c r="J18">
        <v>353650.17499999999</v>
      </c>
      <c r="K18">
        <v>1.85</v>
      </c>
      <c r="L18" s="5" t="str">
        <f t="shared" si="3"/>
        <v>40-44</v>
      </c>
      <c r="M18" s="116">
        <f t="shared" si="4"/>
        <v>1.85</v>
      </c>
      <c r="N18" s="116">
        <f t="shared" si="5"/>
        <v>0.6599999999999997</v>
      </c>
    </row>
    <row r="20" spans="1:14" x14ac:dyDescent="0.2">
      <c r="A20" t="s">
        <v>247</v>
      </c>
      <c r="B20" t="s">
        <v>239</v>
      </c>
      <c r="C20" t="s">
        <v>247</v>
      </c>
      <c r="G20" t="s">
        <v>247</v>
      </c>
      <c r="H20" t="s">
        <v>239</v>
      </c>
      <c r="I20" t="s">
        <v>247</v>
      </c>
    </row>
    <row r="21" spans="1:14" ht="51" x14ac:dyDescent="0.2">
      <c r="B21" t="s">
        <v>7</v>
      </c>
      <c r="C21" t="s">
        <v>248</v>
      </c>
      <c r="D21" t="s">
        <v>249</v>
      </c>
      <c r="E21" t="s">
        <v>250</v>
      </c>
      <c r="H21" t="s">
        <v>7</v>
      </c>
      <c r="I21" t="s">
        <v>248</v>
      </c>
      <c r="J21" t="s">
        <v>249</v>
      </c>
      <c r="K21" t="s">
        <v>250</v>
      </c>
      <c r="L21" s="5" t="s">
        <v>253</v>
      </c>
      <c r="M21" s="25" t="s">
        <v>72</v>
      </c>
      <c r="N21" s="5" t="s">
        <v>73</v>
      </c>
    </row>
    <row r="22" spans="1:14" x14ac:dyDescent="0.2">
      <c r="A22">
        <v>1</v>
      </c>
      <c r="B22" t="s">
        <v>8</v>
      </c>
      <c r="C22">
        <v>1285784</v>
      </c>
      <c r="D22">
        <v>643864.19999999995</v>
      </c>
      <c r="E22">
        <v>2</v>
      </c>
      <c r="G22">
        <v>1</v>
      </c>
      <c r="H22" t="s">
        <v>8</v>
      </c>
      <c r="I22">
        <v>82785.899999999994</v>
      </c>
      <c r="J22">
        <v>643864.19999999995</v>
      </c>
      <c r="K22">
        <v>0.13</v>
      </c>
      <c r="L22" s="5" t="str">
        <f t="shared" ref="L22:L27" si="6">H22</f>
        <v>&lt;20</v>
      </c>
      <c r="M22" s="116">
        <f t="shared" ref="M22:M27" si="7">K22</f>
        <v>0.13</v>
      </c>
      <c r="N22" s="116">
        <f t="shared" ref="N22:N27" si="8">E22-K22</f>
        <v>1.87</v>
      </c>
    </row>
    <row r="23" spans="1:14" x14ac:dyDescent="0.2">
      <c r="A23">
        <v>2</v>
      </c>
      <c r="B23" t="s">
        <v>9</v>
      </c>
      <c r="C23">
        <v>3873485</v>
      </c>
      <c r="D23">
        <v>2109106.1</v>
      </c>
      <c r="E23">
        <v>1.84</v>
      </c>
      <c r="G23">
        <v>2</v>
      </c>
      <c r="H23" t="s">
        <v>9</v>
      </c>
      <c r="I23">
        <v>920299.7</v>
      </c>
      <c r="J23">
        <v>2130765.5</v>
      </c>
      <c r="K23">
        <v>0.43</v>
      </c>
      <c r="L23" s="5" t="str">
        <f t="shared" si="6"/>
        <v>20-24</v>
      </c>
      <c r="M23" s="116">
        <f t="shared" si="7"/>
        <v>0.43</v>
      </c>
      <c r="N23" s="116">
        <f t="shared" si="8"/>
        <v>1.4100000000000001</v>
      </c>
    </row>
    <row r="24" spans="1:14" x14ac:dyDescent="0.2">
      <c r="A24">
        <v>3</v>
      </c>
      <c r="B24" t="s">
        <v>10</v>
      </c>
      <c r="C24">
        <v>4301021</v>
      </c>
      <c r="D24">
        <v>2338073.4</v>
      </c>
      <c r="E24">
        <v>1.84</v>
      </c>
      <c r="G24">
        <v>3</v>
      </c>
      <c r="H24" t="s">
        <v>10</v>
      </c>
      <c r="I24">
        <v>2129940.5</v>
      </c>
      <c r="J24">
        <v>2356760.9</v>
      </c>
      <c r="K24">
        <v>0.9</v>
      </c>
      <c r="L24" s="5" t="str">
        <f t="shared" si="6"/>
        <v>25-29</v>
      </c>
      <c r="M24" s="116">
        <f t="shared" si="7"/>
        <v>0.9</v>
      </c>
      <c r="N24" s="116">
        <f t="shared" si="8"/>
        <v>0.94000000000000006</v>
      </c>
    </row>
    <row r="25" spans="1:14" x14ac:dyDescent="0.2">
      <c r="A25">
        <v>4</v>
      </c>
      <c r="B25" t="s">
        <v>11</v>
      </c>
      <c r="C25">
        <v>3993074</v>
      </c>
      <c r="D25">
        <v>1846805.4</v>
      </c>
      <c r="E25">
        <v>2.16</v>
      </c>
      <c r="G25">
        <v>4</v>
      </c>
      <c r="H25" t="s">
        <v>11</v>
      </c>
      <c r="I25">
        <v>2477127.5</v>
      </c>
      <c r="J25">
        <v>1855138</v>
      </c>
      <c r="K25">
        <v>1.34</v>
      </c>
      <c r="L25" s="5" t="str">
        <f t="shared" si="6"/>
        <v>30-34</v>
      </c>
      <c r="M25" s="116">
        <f t="shared" si="7"/>
        <v>1.34</v>
      </c>
      <c r="N25" s="116">
        <f t="shared" si="8"/>
        <v>0.82000000000000006</v>
      </c>
    </row>
    <row r="26" spans="1:14" x14ac:dyDescent="0.2">
      <c r="A26">
        <v>5</v>
      </c>
      <c r="B26" t="s">
        <v>12</v>
      </c>
      <c r="C26">
        <v>3863683</v>
      </c>
      <c r="D26">
        <v>1859889.4</v>
      </c>
      <c r="E26">
        <v>2.08</v>
      </c>
      <c r="G26">
        <v>5</v>
      </c>
      <c r="H26" t="s">
        <v>12</v>
      </c>
      <c r="I26">
        <v>3017539.7</v>
      </c>
      <c r="J26">
        <v>1866234.5</v>
      </c>
      <c r="K26">
        <v>1.62</v>
      </c>
      <c r="L26" s="5" t="str">
        <f t="shared" si="6"/>
        <v>35-39</v>
      </c>
      <c r="M26" s="116">
        <f t="shared" si="7"/>
        <v>1.62</v>
      </c>
      <c r="N26" s="116">
        <f t="shared" si="8"/>
        <v>0.45999999999999996</v>
      </c>
    </row>
    <row r="27" spans="1:14" x14ac:dyDescent="0.2">
      <c r="A27">
        <v>6</v>
      </c>
      <c r="B27" t="s">
        <v>13</v>
      </c>
      <c r="C27">
        <v>3884004</v>
      </c>
      <c r="D27">
        <v>1647253.3</v>
      </c>
      <c r="E27">
        <v>2.36</v>
      </c>
      <c r="G27">
        <v>6</v>
      </c>
      <c r="H27" t="s">
        <v>13</v>
      </c>
      <c r="I27">
        <v>3099642.7</v>
      </c>
      <c r="J27">
        <v>1670248.6</v>
      </c>
      <c r="K27">
        <v>1.86</v>
      </c>
      <c r="L27" s="5" t="str">
        <f t="shared" si="6"/>
        <v>40-44</v>
      </c>
      <c r="M27" s="116">
        <f t="shared" si="7"/>
        <v>1.86</v>
      </c>
      <c r="N27" s="116">
        <f t="shared" si="8"/>
        <v>0.49999999999999978</v>
      </c>
    </row>
    <row r="29" spans="1:14" x14ac:dyDescent="0.2">
      <c r="A29" t="s">
        <v>247</v>
      </c>
      <c r="B29" t="s">
        <v>168</v>
      </c>
      <c r="C29" t="s">
        <v>247</v>
      </c>
      <c r="G29" t="s">
        <v>247</v>
      </c>
      <c r="H29" t="s">
        <v>168</v>
      </c>
      <c r="I29" t="s">
        <v>247</v>
      </c>
    </row>
    <row r="30" spans="1:14" ht="51" x14ac:dyDescent="0.2">
      <c r="B30" t="s">
        <v>7</v>
      </c>
      <c r="C30" t="s">
        <v>248</v>
      </c>
      <c r="D30" t="s">
        <v>249</v>
      </c>
      <c r="E30" t="s">
        <v>250</v>
      </c>
      <c r="H30" t="s">
        <v>7</v>
      </c>
      <c r="I30" t="s">
        <v>248</v>
      </c>
      <c r="J30" t="s">
        <v>249</v>
      </c>
      <c r="K30" t="s">
        <v>250</v>
      </c>
      <c r="L30" s="5" t="s">
        <v>253</v>
      </c>
      <c r="M30" s="25" t="s">
        <v>72</v>
      </c>
      <c r="N30" s="5" t="s">
        <v>73</v>
      </c>
    </row>
    <row r="31" spans="1:14" x14ac:dyDescent="0.2">
      <c r="A31">
        <v>1</v>
      </c>
      <c r="B31" t="s">
        <v>8</v>
      </c>
      <c r="C31">
        <v>5647432</v>
      </c>
      <c r="D31">
        <v>3019745</v>
      </c>
      <c r="E31">
        <v>1.87</v>
      </c>
      <c r="G31">
        <v>1</v>
      </c>
      <c r="H31" t="s">
        <v>8</v>
      </c>
      <c r="I31">
        <v>413723.3</v>
      </c>
      <c r="J31">
        <v>3067242</v>
      </c>
      <c r="K31">
        <v>0.13</v>
      </c>
      <c r="L31" s="5" t="str">
        <f t="shared" ref="L31:L36" si="9">H31</f>
        <v>&lt;20</v>
      </c>
      <c r="M31" s="116">
        <f t="shared" ref="M31:M36" si="10">K31</f>
        <v>0.13</v>
      </c>
      <c r="N31" s="116">
        <f t="shared" ref="N31:N36" si="11">E31-K31</f>
        <v>1.7400000000000002</v>
      </c>
    </row>
    <row r="32" spans="1:14" x14ac:dyDescent="0.2">
      <c r="A32">
        <v>2</v>
      </c>
      <c r="B32" t="s">
        <v>9</v>
      </c>
      <c r="C32">
        <v>6496781</v>
      </c>
      <c r="D32">
        <v>3445347</v>
      </c>
      <c r="E32">
        <v>1.89</v>
      </c>
      <c r="G32">
        <v>2</v>
      </c>
      <c r="H32" t="s">
        <v>9</v>
      </c>
      <c r="I32">
        <v>2656054.6</v>
      </c>
      <c r="J32">
        <v>3467206</v>
      </c>
      <c r="K32">
        <v>0.77</v>
      </c>
      <c r="L32" s="5" t="str">
        <f t="shared" si="9"/>
        <v>20-24</v>
      </c>
      <c r="M32" s="116">
        <f t="shared" si="10"/>
        <v>0.77</v>
      </c>
      <c r="N32" s="116">
        <f t="shared" si="11"/>
        <v>1.1199999999999999</v>
      </c>
    </row>
    <row r="33" spans="1:14" x14ac:dyDescent="0.2">
      <c r="A33">
        <v>3</v>
      </c>
      <c r="B33" t="s">
        <v>10</v>
      </c>
      <c r="C33">
        <v>6229127</v>
      </c>
      <c r="D33">
        <v>3237471</v>
      </c>
      <c r="E33">
        <v>1.92</v>
      </c>
      <c r="G33">
        <v>3</v>
      </c>
      <c r="H33" t="s">
        <v>10</v>
      </c>
      <c r="I33">
        <v>4394191.2</v>
      </c>
      <c r="J33">
        <v>3287634</v>
      </c>
      <c r="K33">
        <v>1.34</v>
      </c>
      <c r="L33" s="5" t="str">
        <f t="shared" si="9"/>
        <v>25-29</v>
      </c>
      <c r="M33" s="116">
        <f t="shared" si="10"/>
        <v>1.34</v>
      </c>
      <c r="N33" s="116">
        <f t="shared" si="11"/>
        <v>0.57999999999999985</v>
      </c>
    </row>
    <row r="34" spans="1:14" x14ac:dyDescent="0.2">
      <c r="A34">
        <v>4</v>
      </c>
      <c r="B34" t="s">
        <v>11</v>
      </c>
      <c r="C34">
        <v>6200101</v>
      </c>
      <c r="D34">
        <v>3065466</v>
      </c>
      <c r="E34">
        <v>2.02</v>
      </c>
      <c r="G34">
        <v>4</v>
      </c>
      <c r="H34" t="s">
        <v>11</v>
      </c>
      <c r="I34">
        <v>5976324</v>
      </c>
      <c r="J34">
        <v>3075082</v>
      </c>
      <c r="K34">
        <v>1.94</v>
      </c>
      <c r="L34" s="5" t="str">
        <f t="shared" si="9"/>
        <v>30-34</v>
      </c>
      <c r="M34" s="116">
        <f t="shared" si="10"/>
        <v>1.94</v>
      </c>
      <c r="N34" s="116">
        <f t="shared" si="11"/>
        <v>8.0000000000000071E-2</v>
      </c>
    </row>
    <row r="35" spans="1:14" x14ac:dyDescent="0.2">
      <c r="A35">
        <v>5</v>
      </c>
      <c r="B35" t="s">
        <v>12</v>
      </c>
      <c r="C35">
        <v>6704489</v>
      </c>
      <c r="D35">
        <v>3040863</v>
      </c>
      <c r="E35">
        <v>2.2000000000000002</v>
      </c>
      <c r="G35">
        <v>5</v>
      </c>
      <c r="H35" t="s">
        <v>12</v>
      </c>
      <c r="I35">
        <v>6744011.5999999996</v>
      </c>
      <c r="J35">
        <v>3064236</v>
      </c>
      <c r="K35">
        <v>2.2000000000000002</v>
      </c>
      <c r="L35" s="5" t="str">
        <f t="shared" si="9"/>
        <v>35-39</v>
      </c>
      <c r="M35" s="116">
        <f t="shared" si="10"/>
        <v>2.2000000000000002</v>
      </c>
      <c r="N35" s="116">
        <f t="shared" si="11"/>
        <v>0</v>
      </c>
    </row>
    <row r="36" spans="1:14" x14ac:dyDescent="0.2">
      <c r="A36">
        <v>6</v>
      </c>
      <c r="B36" t="s">
        <v>13</v>
      </c>
      <c r="C36">
        <v>6936629</v>
      </c>
      <c r="D36">
        <v>2852752</v>
      </c>
      <c r="E36">
        <v>2.4300000000000002</v>
      </c>
      <c r="G36">
        <v>6</v>
      </c>
      <c r="H36" t="s">
        <v>13</v>
      </c>
      <c r="I36">
        <v>7261122.0999999996</v>
      </c>
      <c r="J36">
        <v>2879407</v>
      </c>
      <c r="K36">
        <v>2.52</v>
      </c>
      <c r="L36" s="5" t="str">
        <f t="shared" si="9"/>
        <v>40-44</v>
      </c>
      <c r="M36" s="116">
        <f t="shared" si="10"/>
        <v>2.52</v>
      </c>
      <c r="N36" s="116">
        <f t="shared" si="11"/>
        <v>-8.9999999999999858E-2</v>
      </c>
    </row>
    <row r="43" spans="1:14" x14ac:dyDescent="0.2">
      <c r="A43" t="s">
        <v>247</v>
      </c>
      <c r="B43" t="s">
        <v>223</v>
      </c>
      <c r="C43" t="s">
        <v>247</v>
      </c>
      <c r="G43" t="s">
        <v>247</v>
      </c>
      <c r="H43" t="s">
        <v>223</v>
      </c>
      <c r="I43" t="s">
        <v>247</v>
      </c>
    </row>
    <row r="44" spans="1:14" ht="51" x14ac:dyDescent="0.2">
      <c r="B44" t="s">
        <v>259</v>
      </c>
      <c r="C44" t="s">
        <v>248</v>
      </c>
      <c r="D44" t="s">
        <v>249</v>
      </c>
      <c r="E44" t="s">
        <v>250</v>
      </c>
      <c r="H44" t="s">
        <v>259</v>
      </c>
      <c r="I44" t="s">
        <v>248</v>
      </c>
      <c r="J44" t="s">
        <v>249</v>
      </c>
      <c r="K44" t="s">
        <v>250</v>
      </c>
      <c r="L44" s="5" t="s">
        <v>253</v>
      </c>
      <c r="M44" s="25" t="s">
        <v>72</v>
      </c>
      <c r="N44" s="5" t="s">
        <v>73</v>
      </c>
    </row>
    <row r="45" spans="1:14" x14ac:dyDescent="0.2">
      <c r="A45">
        <v>1</v>
      </c>
      <c r="B45" t="s">
        <v>8</v>
      </c>
      <c r="C45">
        <v>15571472</v>
      </c>
      <c r="D45">
        <v>8334322</v>
      </c>
      <c r="E45">
        <v>1.87</v>
      </c>
      <c r="G45">
        <v>1</v>
      </c>
      <c r="H45" t="s">
        <v>8</v>
      </c>
      <c r="I45">
        <v>1563929</v>
      </c>
      <c r="J45">
        <v>8417796</v>
      </c>
      <c r="K45">
        <v>0.19</v>
      </c>
      <c r="L45" s="5" t="str">
        <f t="shared" ref="L45:L48" si="12">H45</f>
        <v>&lt;20</v>
      </c>
      <c r="M45" s="116">
        <f t="shared" ref="M45:M48" si="13">K45</f>
        <v>0.19</v>
      </c>
      <c r="N45" s="116">
        <f t="shared" ref="N45:N48" si="14">E45-K45</f>
        <v>1.6800000000000002</v>
      </c>
    </row>
    <row r="46" spans="1:14" x14ac:dyDescent="0.2">
      <c r="A46">
        <v>2</v>
      </c>
      <c r="B46" t="s">
        <v>231</v>
      </c>
      <c r="C46">
        <v>31243320</v>
      </c>
      <c r="D46">
        <v>16509848</v>
      </c>
      <c r="E46">
        <v>1.89</v>
      </c>
      <c r="G46">
        <v>2</v>
      </c>
      <c r="H46" t="s">
        <v>231</v>
      </c>
      <c r="I46">
        <v>16628703</v>
      </c>
      <c r="J46">
        <v>16684156</v>
      </c>
      <c r="K46">
        <v>1</v>
      </c>
      <c r="L46" s="5" t="str">
        <f t="shared" si="12"/>
        <v>20-29</v>
      </c>
      <c r="M46" s="116">
        <f t="shared" si="13"/>
        <v>1</v>
      </c>
      <c r="N46" s="116">
        <f t="shared" si="14"/>
        <v>0.8899999999999999</v>
      </c>
    </row>
    <row r="47" spans="1:14" x14ac:dyDescent="0.2">
      <c r="A47">
        <v>3</v>
      </c>
      <c r="B47" t="s">
        <v>232</v>
      </c>
      <c r="C47">
        <v>30626272</v>
      </c>
      <c r="D47">
        <v>14281902</v>
      </c>
      <c r="E47">
        <v>2.14</v>
      </c>
      <c r="G47">
        <v>3</v>
      </c>
      <c r="H47" t="s">
        <v>232</v>
      </c>
      <c r="I47">
        <v>27781035</v>
      </c>
      <c r="J47">
        <v>14374192</v>
      </c>
      <c r="K47">
        <v>1.93</v>
      </c>
      <c r="L47" s="5" t="str">
        <f t="shared" si="12"/>
        <v>30-39</v>
      </c>
      <c r="M47" s="116">
        <f t="shared" si="13"/>
        <v>1.93</v>
      </c>
      <c r="N47" s="116">
        <f t="shared" si="14"/>
        <v>0.21000000000000019</v>
      </c>
    </row>
    <row r="48" spans="1:14" x14ac:dyDescent="0.2">
      <c r="A48">
        <v>4</v>
      </c>
      <c r="B48" t="s">
        <v>194</v>
      </c>
      <c r="C48">
        <v>31142685</v>
      </c>
      <c r="D48">
        <v>12626888</v>
      </c>
      <c r="E48">
        <v>2.4700000000000002</v>
      </c>
      <c r="G48">
        <v>4</v>
      </c>
      <c r="H48" t="s">
        <v>194</v>
      </c>
      <c r="I48">
        <v>32149429</v>
      </c>
      <c r="J48">
        <v>12885312</v>
      </c>
      <c r="K48">
        <v>2.5</v>
      </c>
      <c r="L48" s="5" t="str">
        <f t="shared" si="12"/>
        <v>40-49</v>
      </c>
      <c r="M48" s="116">
        <f t="shared" si="13"/>
        <v>2.5</v>
      </c>
      <c r="N48" s="116">
        <f t="shared" si="14"/>
        <v>-2.9999999999999805E-2</v>
      </c>
    </row>
    <row r="50" spans="1:14" x14ac:dyDescent="0.2">
      <c r="A50" t="s">
        <v>247</v>
      </c>
      <c r="B50" t="s">
        <v>238</v>
      </c>
      <c r="C50" t="s">
        <v>247</v>
      </c>
      <c r="G50" t="s">
        <v>247</v>
      </c>
      <c r="H50" t="s">
        <v>238</v>
      </c>
      <c r="I50" t="s">
        <v>247</v>
      </c>
    </row>
    <row r="51" spans="1:14" ht="51" x14ac:dyDescent="0.2">
      <c r="B51" t="s">
        <v>259</v>
      </c>
      <c r="C51" t="s">
        <v>248</v>
      </c>
      <c r="D51" t="s">
        <v>249</v>
      </c>
      <c r="E51" t="s">
        <v>250</v>
      </c>
      <c r="H51" t="s">
        <v>259</v>
      </c>
      <c r="I51" t="s">
        <v>248</v>
      </c>
      <c r="J51" t="s">
        <v>249</v>
      </c>
      <c r="K51" t="s">
        <v>250</v>
      </c>
      <c r="L51" s="5" t="s">
        <v>253</v>
      </c>
      <c r="M51" s="25" t="s">
        <v>72</v>
      </c>
      <c r="N51" s="5" t="s">
        <v>73</v>
      </c>
    </row>
    <row r="52" spans="1:14" x14ac:dyDescent="0.2">
      <c r="A52">
        <v>1</v>
      </c>
      <c r="B52" t="s">
        <v>8</v>
      </c>
      <c r="C52">
        <v>16675.11</v>
      </c>
      <c r="D52">
        <v>8337.5550000000003</v>
      </c>
      <c r="E52">
        <v>2</v>
      </c>
      <c r="G52">
        <v>1</v>
      </c>
      <c r="H52" t="s">
        <v>8</v>
      </c>
      <c r="I52">
        <v>8337.5550000000003</v>
      </c>
      <c r="J52">
        <v>8337.5550000000003</v>
      </c>
      <c r="K52">
        <v>1</v>
      </c>
      <c r="L52" s="5" t="str">
        <f t="shared" ref="L52:L55" si="15">H52</f>
        <v>&lt;20</v>
      </c>
      <c r="M52" s="116">
        <f t="shared" ref="M52:M55" si="16">K52</f>
        <v>1</v>
      </c>
      <c r="N52" s="116">
        <f t="shared" ref="N52:N55" si="17">E52-K52</f>
        <v>1</v>
      </c>
    </row>
    <row r="53" spans="1:14" x14ac:dyDescent="0.2">
      <c r="A53">
        <v>2</v>
      </c>
      <c r="B53" t="s">
        <v>231</v>
      </c>
      <c r="C53">
        <v>380495.97</v>
      </c>
      <c r="D53">
        <v>206254.74400000001</v>
      </c>
      <c r="E53">
        <v>1.84</v>
      </c>
      <c r="G53">
        <v>2</v>
      </c>
      <c r="H53" t="s">
        <v>231</v>
      </c>
      <c r="I53">
        <v>184627.71100000001</v>
      </c>
      <c r="J53">
        <v>213837.57699999999</v>
      </c>
      <c r="K53">
        <v>0.86</v>
      </c>
      <c r="L53" s="5" t="str">
        <f t="shared" si="15"/>
        <v>20-29</v>
      </c>
      <c r="M53" s="116">
        <f t="shared" si="16"/>
        <v>0.86</v>
      </c>
      <c r="N53" s="116">
        <f t="shared" si="17"/>
        <v>0.98000000000000009</v>
      </c>
    </row>
    <row r="54" spans="1:14" x14ac:dyDescent="0.2">
      <c r="A54">
        <v>3</v>
      </c>
      <c r="B54" t="s">
        <v>232</v>
      </c>
      <c r="C54">
        <v>888966.76</v>
      </c>
      <c r="D54">
        <v>452538.52299999999</v>
      </c>
      <c r="E54">
        <v>1.96</v>
      </c>
      <c r="G54">
        <v>3</v>
      </c>
      <c r="H54" t="s">
        <v>232</v>
      </c>
      <c r="I54">
        <v>530779.02500000002</v>
      </c>
      <c r="J54">
        <v>452947.51</v>
      </c>
      <c r="K54">
        <v>1.17</v>
      </c>
      <c r="L54" s="5" t="str">
        <f t="shared" si="15"/>
        <v>30-39</v>
      </c>
      <c r="M54" s="116">
        <f t="shared" si="16"/>
        <v>1.17</v>
      </c>
      <c r="N54" s="116">
        <f t="shared" si="17"/>
        <v>0.79</v>
      </c>
    </row>
    <row r="55" spans="1:14" x14ac:dyDescent="0.2">
      <c r="A55">
        <v>4</v>
      </c>
      <c r="B55" t="s">
        <v>194</v>
      </c>
      <c r="C55">
        <v>1526717.12</v>
      </c>
      <c r="D55">
        <v>657684.23699999996</v>
      </c>
      <c r="E55">
        <v>2.3199999999999998</v>
      </c>
      <c r="G55">
        <v>4</v>
      </c>
      <c r="H55" t="s">
        <v>194</v>
      </c>
      <c r="I55">
        <v>1127560.3859999999</v>
      </c>
      <c r="J55">
        <v>695749.39199999999</v>
      </c>
      <c r="K55">
        <v>1.62</v>
      </c>
      <c r="L55" s="5" t="str">
        <f t="shared" si="15"/>
        <v>40-49</v>
      </c>
      <c r="M55" s="116">
        <f t="shared" si="16"/>
        <v>1.62</v>
      </c>
      <c r="N55" s="116">
        <f t="shared" si="17"/>
        <v>0.69999999999999973</v>
      </c>
    </row>
    <row r="57" spans="1:14" x14ac:dyDescent="0.2">
      <c r="A57" t="s">
        <v>247</v>
      </c>
      <c r="B57" t="s">
        <v>239</v>
      </c>
      <c r="C57" t="s">
        <v>247</v>
      </c>
      <c r="G57" t="s">
        <v>247</v>
      </c>
      <c r="H57" t="s">
        <v>239</v>
      </c>
      <c r="I57" t="s">
        <v>247</v>
      </c>
    </row>
    <row r="58" spans="1:14" ht="51" x14ac:dyDescent="0.2">
      <c r="B58" t="s">
        <v>259</v>
      </c>
      <c r="C58" t="s">
        <v>248</v>
      </c>
      <c r="D58" t="s">
        <v>249</v>
      </c>
      <c r="E58" t="s">
        <v>250</v>
      </c>
      <c r="H58" t="s">
        <v>259</v>
      </c>
      <c r="I58" t="s">
        <v>248</v>
      </c>
      <c r="J58" t="s">
        <v>249</v>
      </c>
      <c r="K58" t="s">
        <v>250</v>
      </c>
      <c r="L58" s="5" t="s">
        <v>253</v>
      </c>
      <c r="M58" s="25" t="s">
        <v>72</v>
      </c>
      <c r="N58" s="5" t="s">
        <v>73</v>
      </c>
    </row>
    <row r="59" spans="1:14" x14ac:dyDescent="0.2">
      <c r="A59">
        <v>1</v>
      </c>
      <c r="B59" t="s">
        <v>8</v>
      </c>
      <c r="C59">
        <v>1285784</v>
      </c>
      <c r="D59">
        <v>643864.19999999995</v>
      </c>
      <c r="E59">
        <v>2</v>
      </c>
      <c r="G59">
        <v>1</v>
      </c>
      <c r="H59" t="s">
        <v>8</v>
      </c>
      <c r="I59">
        <v>82785.899999999994</v>
      </c>
      <c r="J59">
        <v>643864.19999999995</v>
      </c>
      <c r="K59">
        <v>0.13</v>
      </c>
      <c r="L59" s="5" t="str">
        <f t="shared" ref="L59:L62" si="18">H59</f>
        <v>&lt;20</v>
      </c>
      <c r="M59" s="116">
        <f t="shared" ref="M59:M62" si="19">K59</f>
        <v>0.13</v>
      </c>
      <c r="N59" s="116">
        <f t="shared" ref="N59:N62" si="20">E59-K59</f>
        <v>1.87</v>
      </c>
    </row>
    <row r="60" spans="1:14" x14ac:dyDescent="0.2">
      <c r="A60">
        <v>2</v>
      </c>
      <c r="B60" t="s">
        <v>231</v>
      </c>
      <c r="C60">
        <v>8174505</v>
      </c>
      <c r="D60">
        <v>4447179.5</v>
      </c>
      <c r="E60">
        <v>1.84</v>
      </c>
      <c r="G60">
        <v>2</v>
      </c>
      <c r="H60" t="s">
        <v>231</v>
      </c>
      <c r="I60">
        <v>3050240.2</v>
      </c>
      <c r="J60">
        <v>4487526.4000000004</v>
      </c>
      <c r="K60">
        <v>0.68</v>
      </c>
      <c r="L60" s="5" t="str">
        <f t="shared" si="18"/>
        <v>20-29</v>
      </c>
      <c r="M60" s="116">
        <f t="shared" si="19"/>
        <v>0.68</v>
      </c>
      <c r="N60" s="116">
        <f t="shared" si="20"/>
        <v>1.1600000000000001</v>
      </c>
    </row>
    <row r="61" spans="1:14" x14ac:dyDescent="0.2">
      <c r="A61">
        <v>3</v>
      </c>
      <c r="B61" t="s">
        <v>232</v>
      </c>
      <c r="C61">
        <v>7856757</v>
      </c>
      <c r="D61">
        <v>3706694.8</v>
      </c>
      <c r="E61">
        <v>2.12</v>
      </c>
      <c r="G61">
        <v>3</v>
      </c>
      <c r="H61" t="s">
        <v>232</v>
      </c>
      <c r="I61">
        <v>5494667.2000000002</v>
      </c>
      <c r="J61">
        <v>3721372.5</v>
      </c>
      <c r="K61">
        <v>1.48</v>
      </c>
      <c r="L61" s="5" t="str">
        <f t="shared" si="18"/>
        <v>30-39</v>
      </c>
      <c r="M61" s="116">
        <f t="shared" si="19"/>
        <v>1.48</v>
      </c>
      <c r="N61" s="116">
        <f t="shared" si="20"/>
        <v>0.64000000000000012</v>
      </c>
    </row>
    <row r="62" spans="1:14" x14ac:dyDescent="0.2">
      <c r="A62">
        <v>4</v>
      </c>
      <c r="B62" t="s">
        <v>194</v>
      </c>
      <c r="C62">
        <v>6857155</v>
      </c>
      <c r="D62">
        <v>2987597.1</v>
      </c>
      <c r="E62">
        <v>2.2999999999999998</v>
      </c>
      <c r="G62">
        <v>4</v>
      </c>
      <c r="H62" t="s">
        <v>194</v>
      </c>
      <c r="I62">
        <v>5999059.5999999996</v>
      </c>
      <c r="J62">
        <v>3020581</v>
      </c>
      <c r="K62">
        <v>1.99</v>
      </c>
      <c r="L62" s="5" t="str">
        <f t="shared" si="18"/>
        <v>40-49</v>
      </c>
      <c r="M62" s="116">
        <f t="shared" si="19"/>
        <v>1.99</v>
      </c>
      <c r="N62" s="116">
        <f t="shared" si="20"/>
        <v>0.30999999999999983</v>
      </c>
    </row>
    <row r="64" spans="1:14" x14ac:dyDescent="0.2">
      <c r="A64" t="s">
        <v>247</v>
      </c>
      <c r="B64" t="s">
        <v>168</v>
      </c>
      <c r="C64" t="s">
        <v>247</v>
      </c>
      <c r="G64" t="s">
        <v>247</v>
      </c>
      <c r="H64" t="s">
        <v>168</v>
      </c>
      <c r="I64" t="s">
        <v>247</v>
      </c>
    </row>
    <row r="65" spans="1:14" ht="51" x14ac:dyDescent="0.2">
      <c r="B65" t="s">
        <v>259</v>
      </c>
      <c r="C65" t="s">
        <v>248</v>
      </c>
      <c r="D65" t="s">
        <v>249</v>
      </c>
      <c r="E65" t="s">
        <v>250</v>
      </c>
      <c r="H65" t="s">
        <v>259</v>
      </c>
      <c r="I65" t="s">
        <v>248</v>
      </c>
      <c r="J65" t="s">
        <v>249</v>
      </c>
      <c r="K65" t="s">
        <v>250</v>
      </c>
      <c r="L65" s="5" t="s">
        <v>253</v>
      </c>
      <c r="M65" s="25" t="s">
        <v>72</v>
      </c>
      <c r="N65" s="5" t="s">
        <v>73</v>
      </c>
    </row>
    <row r="66" spans="1:14" x14ac:dyDescent="0.2">
      <c r="A66">
        <v>1</v>
      </c>
      <c r="B66" t="s">
        <v>8</v>
      </c>
      <c r="C66">
        <v>5647432</v>
      </c>
      <c r="D66">
        <v>3019745</v>
      </c>
      <c r="E66">
        <v>1.87</v>
      </c>
      <c r="G66">
        <v>1</v>
      </c>
      <c r="H66" t="s">
        <v>8</v>
      </c>
      <c r="I66">
        <v>413723.3</v>
      </c>
      <c r="J66">
        <v>3067242</v>
      </c>
      <c r="K66">
        <v>0.13</v>
      </c>
      <c r="L66" s="5" t="str">
        <f t="shared" ref="L66:L69" si="21">H66</f>
        <v>&lt;20</v>
      </c>
      <c r="M66" s="116">
        <f t="shared" ref="M66:M69" si="22">K66</f>
        <v>0.13</v>
      </c>
      <c r="N66" s="116">
        <f t="shared" ref="N66:N69" si="23">E66-K66</f>
        <v>1.7400000000000002</v>
      </c>
    </row>
    <row r="67" spans="1:14" x14ac:dyDescent="0.2">
      <c r="A67">
        <v>2</v>
      </c>
      <c r="B67" t="s">
        <v>231</v>
      </c>
      <c r="C67">
        <v>12725908</v>
      </c>
      <c r="D67">
        <v>6682818</v>
      </c>
      <c r="E67">
        <v>1.9</v>
      </c>
      <c r="G67">
        <v>2</v>
      </c>
      <c r="H67" t="s">
        <v>231</v>
      </c>
      <c r="I67">
        <v>7050245.7999999998</v>
      </c>
      <c r="J67">
        <v>6754840</v>
      </c>
      <c r="K67">
        <v>1.04</v>
      </c>
      <c r="L67" s="5" t="str">
        <f t="shared" si="21"/>
        <v>20-29</v>
      </c>
      <c r="M67" s="116">
        <f t="shared" si="22"/>
        <v>1.04</v>
      </c>
      <c r="N67" s="116">
        <f t="shared" si="23"/>
        <v>0.85999999999999988</v>
      </c>
    </row>
    <row r="68" spans="1:14" x14ac:dyDescent="0.2">
      <c r="A68">
        <v>3</v>
      </c>
      <c r="B68" t="s">
        <v>232</v>
      </c>
      <c r="C68">
        <v>12904590</v>
      </c>
      <c r="D68">
        <v>6106329</v>
      </c>
      <c r="E68">
        <v>2.11</v>
      </c>
      <c r="G68">
        <v>3</v>
      </c>
      <c r="H68" t="s">
        <v>232</v>
      </c>
      <c r="I68">
        <v>12720335.6</v>
      </c>
      <c r="J68">
        <v>6139318</v>
      </c>
      <c r="K68">
        <v>2.0699999999999998</v>
      </c>
      <c r="L68" s="5" t="str">
        <f t="shared" si="21"/>
        <v>30-39</v>
      </c>
      <c r="M68" s="116">
        <f t="shared" si="22"/>
        <v>2.0699999999999998</v>
      </c>
      <c r="N68" s="116">
        <f t="shared" si="23"/>
        <v>4.0000000000000036E-2</v>
      </c>
    </row>
    <row r="69" spans="1:14" x14ac:dyDescent="0.2">
      <c r="A69">
        <v>4</v>
      </c>
      <c r="B69" t="s">
        <v>194</v>
      </c>
      <c r="C69">
        <v>12896845</v>
      </c>
      <c r="D69">
        <v>5144710</v>
      </c>
      <c r="E69">
        <v>2.5099999999999998</v>
      </c>
      <c r="G69">
        <v>4</v>
      </c>
      <c r="H69" t="s">
        <v>194</v>
      </c>
      <c r="I69">
        <v>13825931.5</v>
      </c>
      <c r="J69">
        <v>5193953</v>
      </c>
      <c r="K69">
        <v>2.66</v>
      </c>
      <c r="L69" s="5" t="str">
        <f t="shared" si="21"/>
        <v>40-49</v>
      </c>
      <c r="M69" s="116">
        <f t="shared" si="22"/>
        <v>2.66</v>
      </c>
      <c r="N69" s="116">
        <f t="shared" si="23"/>
        <v>-0.15000000000000036</v>
      </c>
    </row>
    <row r="82" spans="1:14" x14ac:dyDescent="0.2">
      <c r="A82" t="s">
        <v>247</v>
      </c>
      <c r="B82" t="s">
        <v>223</v>
      </c>
      <c r="C82" t="s">
        <v>247</v>
      </c>
      <c r="G82" t="s">
        <v>247</v>
      </c>
      <c r="H82" t="s">
        <v>223</v>
      </c>
      <c r="I82" t="s">
        <v>247</v>
      </c>
    </row>
    <row r="83" spans="1:14" ht="51" x14ac:dyDescent="0.2">
      <c r="B83" t="s">
        <v>260</v>
      </c>
      <c r="C83" t="s">
        <v>248</v>
      </c>
      <c r="D83" t="s">
        <v>249</v>
      </c>
      <c r="E83" t="s">
        <v>250</v>
      </c>
      <c r="H83" t="s">
        <v>260</v>
      </c>
      <c r="I83" t="s">
        <v>248</v>
      </c>
      <c r="J83" t="s">
        <v>249</v>
      </c>
      <c r="K83" t="s">
        <v>250</v>
      </c>
      <c r="L83" s="5" t="s">
        <v>253</v>
      </c>
      <c r="M83" s="25" t="s">
        <v>72</v>
      </c>
      <c r="N83" s="5" t="s">
        <v>73</v>
      </c>
    </row>
    <row r="84" spans="1:14" x14ac:dyDescent="0.2">
      <c r="A84">
        <v>1</v>
      </c>
      <c r="B84" t="s">
        <v>8</v>
      </c>
      <c r="C84">
        <v>15571472</v>
      </c>
      <c r="D84">
        <v>8334322</v>
      </c>
      <c r="E84">
        <v>1.87</v>
      </c>
      <c r="G84">
        <v>1</v>
      </c>
      <c r="H84" t="s">
        <v>8</v>
      </c>
      <c r="I84">
        <v>1563929</v>
      </c>
      <c r="J84">
        <v>8417796</v>
      </c>
      <c r="K84">
        <v>0.19</v>
      </c>
      <c r="L84" s="5" t="str">
        <f t="shared" ref="L84:L86" si="24">H84</f>
        <v>&lt;20</v>
      </c>
      <c r="M84" s="116">
        <f t="shared" ref="M84:M86" si="25">K84</f>
        <v>0.19</v>
      </c>
      <c r="N84" s="116">
        <f t="shared" ref="N84:N86" si="26">E84-K84</f>
        <v>1.6800000000000002</v>
      </c>
    </row>
    <row r="85" spans="1:14" x14ac:dyDescent="0.2">
      <c r="A85">
        <v>2</v>
      </c>
      <c r="B85" t="s">
        <v>257</v>
      </c>
      <c r="C85">
        <v>46324422</v>
      </c>
      <c r="D85">
        <v>23738900</v>
      </c>
      <c r="E85">
        <v>1.95</v>
      </c>
      <c r="G85">
        <v>2</v>
      </c>
      <c r="H85" t="s">
        <v>257</v>
      </c>
      <c r="I85">
        <v>29810892</v>
      </c>
      <c r="J85">
        <v>23960520</v>
      </c>
      <c r="K85">
        <v>1.24</v>
      </c>
      <c r="L85" s="5" t="str">
        <f t="shared" si="24"/>
        <v>20-34</v>
      </c>
      <c r="M85" s="116">
        <f t="shared" si="25"/>
        <v>1.24</v>
      </c>
      <c r="N85" s="116">
        <f t="shared" si="26"/>
        <v>0.71</v>
      </c>
    </row>
    <row r="86" spans="1:14" x14ac:dyDescent="0.2">
      <c r="A86">
        <v>3</v>
      </c>
      <c r="B86" t="s">
        <v>254</v>
      </c>
      <c r="C86">
        <v>46687855</v>
      </c>
      <c r="D86">
        <v>19679738</v>
      </c>
      <c r="E86">
        <v>2.37</v>
      </c>
      <c r="G86">
        <v>3</v>
      </c>
      <c r="H86" t="s">
        <v>254</v>
      </c>
      <c r="I86">
        <v>46748276</v>
      </c>
      <c r="J86">
        <v>19983140</v>
      </c>
      <c r="K86">
        <v>2.34</v>
      </c>
      <c r="L86" s="5" t="str">
        <f t="shared" si="24"/>
        <v>35-49</v>
      </c>
      <c r="M86" s="116">
        <f t="shared" si="25"/>
        <v>2.34</v>
      </c>
      <c r="N86" s="116">
        <f t="shared" si="26"/>
        <v>3.0000000000000249E-2</v>
      </c>
    </row>
    <row r="88" spans="1:14" x14ac:dyDescent="0.2">
      <c r="A88" t="s">
        <v>247</v>
      </c>
      <c r="B88" t="s">
        <v>238</v>
      </c>
      <c r="C88" t="s">
        <v>247</v>
      </c>
      <c r="G88" t="s">
        <v>247</v>
      </c>
      <c r="H88" t="s">
        <v>238</v>
      </c>
      <c r="I88" t="s">
        <v>247</v>
      </c>
    </row>
    <row r="89" spans="1:14" ht="51" x14ac:dyDescent="0.2">
      <c r="B89" t="s">
        <v>260</v>
      </c>
      <c r="C89" t="s">
        <v>248</v>
      </c>
      <c r="D89" t="s">
        <v>249</v>
      </c>
      <c r="E89" t="s">
        <v>250</v>
      </c>
      <c r="H89" t="s">
        <v>260</v>
      </c>
      <c r="I89" t="s">
        <v>248</v>
      </c>
      <c r="J89" t="s">
        <v>249</v>
      </c>
      <c r="K89" t="s">
        <v>250</v>
      </c>
      <c r="L89" s="5" t="s">
        <v>253</v>
      </c>
      <c r="M89" s="25" t="s">
        <v>72</v>
      </c>
      <c r="N89" s="5" t="s">
        <v>73</v>
      </c>
    </row>
    <row r="90" spans="1:14" x14ac:dyDescent="0.2">
      <c r="A90">
        <v>1</v>
      </c>
      <c r="B90" t="s">
        <v>8</v>
      </c>
      <c r="C90">
        <v>16675.11</v>
      </c>
      <c r="D90">
        <v>8337.5550000000003</v>
      </c>
      <c r="E90">
        <v>2</v>
      </c>
      <c r="G90">
        <v>1</v>
      </c>
      <c r="H90" t="s">
        <v>8</v>
      </c>
      <c r="I90">
        <v>8337.5550000000003</v>
      </c>
      <c r="J90">
        <v>8337.5550000000003</v>
      </c>
      <c r="K90">
        <v>1</v>
      </c>
      <c r="L90" s="5" t="str">
        <f t="shared" ref="L90:L92" si="27">H90</f>
        <v>&lt;20</v>
      </c>
      <c r="M90" s="116">
        <f t="shared" ref="M90:M92" si="28">K90</f>
        <v>1</v>
      </c>
      <c r="N90" s="116">
        <f t="shared" ref="N90:N92" si="29">E90-K90</f>
        <v>1</v>
      </c>
    </row>
    <row r="91" spans="1:14" x14ac:dyDescent="0.2">
      <c r="A91">
        <v>2</v>
      </c>
      <c r="B91" t="s">
        <v>257</v>
      </c>
      <c r="C91">
        <v>797585.74</v>
      </c>
      <c r="D91">
        <v>409854.83600000001</v>
      </c>
      <c r="E91">
        <v>1.95</v>
      </c>
      <c r="G91">
        <v>2</v>
      </c>
      <c r="H91" t="s">
        <v>257</v>
      </c>
      <c r="I91">
        <v>401346.34100000001</v>
      </c>
      <c r="J91">
        <v>417437.66899999999</v>
      </c>
      <c r="K91">
        <v>0.96</v>
      </c>
      <c r="L91" s="5" t="str">
        <f t="shared" si="27"/>
        <v>20-34</v>
      </c>
      <c r="M91" s="116">
        <f t="shared" si="28"/>
        <v>0.96</v>
      </c>
      <c r="N91" s="116">
        <f t="shared" si="29"/>
        <v>0.99</v>
      </c>
    </row>
    <row r="92" spans="1:14" x14ac:dyDescent="0.2">
      <c r="A92">
        <v>3</v>
      </c>
      <c r="B92" t="s">
        <v>254</v>
      </c>
      <c r="C92">
        <v>1998594.1</v>
      </c>
      <c r="D92">
        <v>906622.66799999995</v>
      </c>
      <c r="E92">
        <v>2.2000000000000002</v>
      </c>
      <c r="G92">
        <v>3</v>
      </c>
      <c r="H92" t="s">
        <v>254</v>
      </c>
      <c r="I92">
        <v>1441620.781</v>
      </c>
      <c r="J92">
        <v>945096.81</v>
      </c>
      <c r="K92">
        <v>1.53</v>
      </c>
      <c r="L92" s="5" t="str">
        <f t="shared" si="27"/>
        <v>35-49</v>
      </c>
      <c r="M92" s="116">
        <f t="shared" si="28"/>
        <v>1.53</v>
      </c>
      <c r="N92" s="116">
        <f t="shared" si="29"/>
        <v>0.67000000000000015</v>
      </c>
    </row>
    <row r="94" spans="1:14" x14ac:dyDescent="0.2">
      <c r="A94" t="s">
        <v>247</v>
      </c>
      <c r="B94" t="s">
        <v>239</v>
      </c>
      <c r="C94" t="s">
        <v>247</v>
      </c>
      <c r="G94" t="s">
        <v>247</v>
      </c>
      <c r="H94" t="s">
        <v>239</v>
      </c>
      <c r="I94" t="s">
        <v>247</v>
      </c>
    </row>
    <row r="95" spans="1:14" ht="51" x14ac:dyDescent="0.2">
      <c r="B95" t="s">
        <v>260</v>
      </c>
      <c r="C95" t="s">
        <v>248</v>
      </c>
      <c r="D95" t="s">
        <v>249</v>
      </c>
      <c r="E95" t="s">
        <v>250</v>
      </c>
      <c r="H95" t="s">
        <v>260</v>
      </c>
      <c r="I95" t="s">
        <v>248</v>
      </c>
      <c r="J95" t="s">
        <v>249</v>
      </c>
      <c r="K95" t="s">
        <v>250</v>
      </c>
      <c r="L95" s="5" t="s">
        <v>253</v>
      </c>
      <c r="M95" s="25" t="s">
        <v>72</v>
      </c>
      <c r="N95" s="5" t="s">
        <v>73</v>
      </c>
    </row>
    <row r="96" spans="1:14" x14ac:dyDescent="0.2">
      <c r="A96">
        <v>1</v>
      </c>
      <c r="B96" t="s">
        <v>8</v>
      </c>
      <c r="C96">
        <v>1285784</v>
      </c>
      <c r="D96">
        <v>643864.19999999995</v>
      </c>
      <c r="E96">
        <v>2</v>
      </c>
      <c r="G96">
        <v>1</v>
      </c>
      <c r="H96" t="s">
        <v>8</v>
      </c>
      <c r="I96">
        <v>82785.899999999994</v>
      </c>
      <c r="J96">
        <v>643864.19999999995</v>
      </c>
      <c r="K96">
        <v>0.13</v>
      </c>
      <c r="L96" s="5" t="str">
        <f t="shared" ref="L96:L98" si="30">H96</f>
        <v>&lt;20</v>
      </c>
      <c r="M96" s="116">
        <f t="shared" ref="M96:M98" si="31">K96</f>
        <v>0.13</v>
      </c>
      <c r="N96" s="116">
        <f t="shared" ref="N96:N98" si="32">E96-K96</f>
        <v>1.87</v>
      </c>
    </row>
    <row r="97" spans="1:14" x14ac:dyDescent="0.2">
      <c r="A97">
        <v>2</v>
      </c>
      <c r="B97" t="s">
        <v>257</v>
      </c>
      <c r="C97">
        <v>12167580</v>
      </c>
      <c r="D97">
        <v>6293984.7999999998</v>
      </c>
      <c r="E97">
        <v>1.93</v>
      </c>
      <c r="G97">
        <v>2</v>
      </c>
      <c r="H97" t="s">
        <v>257</v>
      </c>
      <c r="I97">
        <v>5527367.7000000002</v>
      </c>
      <c r="J97">
        <v>6342664.4000000004</v>
      </c>
      <c r="K97">
        <v>0.87</v>
      </c>
      <c r="L97" s="5" t="str">
        <f t="shared" si="30"/>
        <v>20-34</v>
      </c>
      <c r="M97" s="116">
        <f t="shared" si="31"/>
        <v>0.87</v>
      </c>
      <c r="N97" s="116">
        <f t="shared" si="32"/>
        <v>1.06</v>
      </c>
    </row>
    <row r="98" spans="1:14" x14ac:dyDescent="0.2">
      <c r="A98">
        <v>3</v>
      </c>
      <c r="B98" t="s">
        <v>254</v>
      </c>
      <c r="C98">
        <v>10720838</v>
      </c>
      <c r="D98">
        <v>4847486.5999999996</v>
      </c>
      <c r="E98">
        <v>2.21</v>
      </c>
      <c r="G98">
        <v>3</v>
      </c>
      <c r="H98" t="s">
        <v>254</v>
      </c>
      <c r="I98">
        <v>9016599.1999999993</v>
      </c>
      <c r="J98">
        <v>4886815.5</v>
      </c>
      <c r="K98">
        <v>1.85</v>
      </c>
      <c r="L98" s="5" t="str">
        <f t="shared" si="30"/>
        <v>35-49</v>
      </c>
      <c r="M98" s="116">
        <f t="shared" si="31"/>
        <v>1.85</v>
      </c>
      <c r="N98" s="116">
        <f t="shared" si="32"/>
        <v>0.35999999999999988</v>
      </c>
    </row>
    <row r="100" spans="1:14" x14ac:dyDescent="0.2">
      <c r="A100" t="s">
        <v>247</v>
      </c>
      <c r="B100" t="s">
        <v>168</v>
      </c>
      <c r="C100" t="s">
        <v>247</v>
      </c>
      <c r="G100" t="s">
        <v>247</v>
      </c>
      <c r="H100" t="s">
        <v>168</v>
      </c>
      <c r="I100" t="s">
        <v>247</v>
      </c>
    </row>
    <row r="101" spans="1:14" ht="51" x14ac:dyDescent="0.2">
      <c r="B101" t="s">
        <v>260</v>
      </c>
      <c r="C101" t="s">
        <v>248</v>
      </c>
      <c r="D101" t="s">
        <v>249</v>
      </c>
      <c r="E101" t="s">
        <v>250</v>
      </c>
      <c r="H101" t="s">
        <v>260</v>
      </c>
      <c r="I101" t="s">
        <v>248</v>
      </c>
      <c r="J101" t="s">
        <v>249</v>
      </c>
      <c r="K101" t="s">
        <v>250</v>
      </c>
      <c r="L101" s="5" t="s">
        <v>253</v>
      </c>
      <c r="M101" s="25" t="s">
        <v>72</v>
      </c>
      <c r="N101" s="5" t="s">
        <v>73</v>
      </c>
    </row>
    <row r="102" spans="1:14" x14ac:dyDescent="0.2">
      <c r="A102">
        <v>1</v>
      </c>
      <c r="B102" t="s">
        <v>8</v>
      </c>
      <c r="C102">
        <v>5647432</v>
      </c>
      <c r="D102">
        <v>3019745</v>
      </c>
      <c r="E102">
        <v>1.87</v>
      </c>
      <c r="G102">
        <v>1</v>
      </c>
      <c r="H102" t="s">
        <v>8</v>
      </c>
      <c r="I102">
        <v>413723.3</v>
      </c>
      <c r="J102">
        <v>3067242</v>
      </c>
      <c r="K102">
        <v>0.13</v>
      </c>
      <c r="L102" s="5" t="str">
        <f t="shared" ref="L102:L104" si="33">H102</f>
        <v>&lt;20</v>
      </c>
      <c r="M102" s="116">
        <f t="shared" ref="M102:M104" si="34">K102</f>
        <v>0.13</v>
      </c>
      <c r="N102" s="116">
        <f t="shared" ref="N102:N104" si="35">E102-K102</f>
        <v>1.7400000000000002</v>
      </c>
    </row>
    <row r="103" spans="1:14" x14ac:dyDescent="0.2">
      <c r="A103">
        <v>2</v>
      </c>
      <c r="B103" t="s">
        <v>257</v>
      </c>
      <c r="C103">
        <v>18926009</v>
      </c>
      <c r="D103">
        <v>9748284</v>
      </c>
      <c r="E103">
        <v>1.94</v>
      </c>
      <c r="G103">
        <v>2</v>
      </c>
      <c r="H103" t="s">
        <v>257</v>
      </c>
      <c r="I103">
        <v>13026569.800000001</v>
      </c>
      <c r="J103">
        <v>9829922</v>
      </c>
      <c r="K103">
        <v>1.33</v>
      </c>
      <c r="L103" s="5" t="str">
        <f t="shared" si="33"/>
        <v>20-34</v>
      </c>
      <c r="M103" s="116">
        <f t="shared" si="34"/>
        <v>1.33</v>
      </c>
      <c r="N103" s="116">
        <f t="shared" si="35"/>
        <v>0.60999999999999988</v>
      </c>
    </row>
    <row r="104" spans="1:14" x14ac:dyDescent="0.2">
      <c r="A104">
        <v>3</v>
      </c>
      <c r="B104" t="s">
        <v>254</v>
      </c>
      <c r="C104">
        <v>19601334</v>
      </c>
      <c r="D104">
        <v>8185573</v>
      </c>
      <c r="E104">
        <v>2.39</v>
      </c>
      <c r="G104">
        <v>3</v>
      </c>
      <c r="H104" t="s">
        <v>254</v>
      </c>
      <c r="I104">
        <v>20569943.100000001</v>
      </c>
      <c r="J104">
        <v>8258189</v>
      </c>
      <c r="K104">
        <v>2.4900000000000002</v>
      </c>
      <c r="L104" s="5" t="str">
        <f t="shared" si="33"/>
        <v>35-49</v>
      </c>
      <c r="M104" s="116">
        <f t="shared" si="34"/>
        <v>2.4900000000000002</v>
      </c>
      <c r="N104" s="116">
        <f t="shared" si="35"/>
        <v>-0.10000000000000009</v>
      </c>
    </row>
    <row r="120" spans="1:14" x14ac:dyDescent="0.2">
      <c r="A120" t="s">
        <v>247</v>
      </c>
      <c r="B120" t="s">
        <v>223</v>
      </c>
      <c r="C120" t="s">
        <v>247</v>
      </c>
      <c r="G120" t="s">
        <v>247</v>
      </c>
      <c r="H120" t="s">
        <v>223</v>
      </c>
      <c r="I120" t="s">
        <v>247</v>
      </c>
    </row>
    <row r="121" spans="1:14" ht="51" x14ac:dyDescent="0.2">
      <c r="B121" t="s">
        <v>259</v>
      </c>
      <c r="C121" t="s">
        <v>248</v>
      </c>
      <c r="D121" t="s">
        <v>249</v>
      </c>
      <c r="E121" t="s">
        <v>250</v>
      </c>
      <c r="H121" t="s">
        <v>259</v>
      </c>
      <c r="I121" t="s">
        <v>248</v>
      </c>
      <c r="J121" t="s">
        <v>249</v>
      </c>
      <c r="K121" t="s">
        <v>250</v>
      </c>
      <c r="L121" s="5" t="s">
        <v>253</v>
      </c>
      <c r="M121" s="25" t="s">
        <v>72</v>
      </c>
      <c r="N121" s="5" t="s">
        <v>438</v>
      </c>
    </row>
    <row r="122" spans="1:14" x14ac:dyDescent="0.2">
      <c r="A122">
        <v>1</v>
      </c>
      <c r="B122" t="s">
        <v>366</v>
      </c>
      <c r="C122">
        <v>46814792</v>
      </c>
      <c r="D122">
        <v>24844170</v>
      </c>
      <c r="E122">
        <v>1.88</v>
      </c>
      <c r="G122">
        <v>1</v>
      </c>
      <c r="H122" t="s">
        <v>366</v>
      </c>
      <c r="I122">
        <v>18192632</v>
      </c>
      <c r="J122">
        <v>25101952</v>
      </c>
      <c r="K122">
        <v>0.72</v>
      </c>
      <c r="L122" s="5" t="str">
        <f t="shared" ref="L122:L124" si="36">H122</f>
        <v>&lt;30</v>
      </c>
      <c r="M122" s="116">
        <f>K122</f>
        <v>0.72</v>
      </c>
      <c r="N122" s="116">
        <f>E122</f>
        <v>1.88</v>
      </c>
    </row>
    <row r="123" spans="1:14" x14ac:dyDescent="0.2">
      <c r="A123">
        <v>2</v>
      </c>
      <c r="B123" t="s">
        <v>232</v>
      </c>
      <c r="C123">
        <v>30626272</v>
      </c>
      <c r="D123">
        <v>14281902</v>
      </c>
      <c r="E123">
        <v>2.14</v>
      </c>
      <c r="G123">
        <v>2</v>
      </c>
      <c r="H123" t="s">
        <v>232</v>
      </c>
      <c r="I123">
        <v>27781035</v>
      </c>
      <c r="J123">
        <v>14374192</v>
      </c>
      <c r="K123">
        <v>1.93</v>
      </c>
      <c r="L123" s="5" t="str">
        <f t="shared" si="36"/>
        <v>30-39</v>
      </c>
      <c r="M123" s="116">
        <f t="shared" ref="M123:M124" si="37">K123</f>
        <v>1.93</v>
      </c>
      <c r="N123" s="116">
        <f t="shared" ref="N123:N124" si="38">E123</f>
        <v>2.14</v>
      </c>
    </row>
    <row r="124" spans="1:14" x14ac:dyDescent="0.2">
      <c r="A124">
        <v>3</v>
      </c>
      <c r="B124" t="s">
        <v>194</v>
      </c>
      <c r="C124">
        <v>31142685</v>
      </c>
      <c r="D124">
        <v>12626888</v>
      </c>
      <c r="E124">
        <v>2.4700000000000002</v>
      </c>
      <c r="G124">
        <v>3</v>
      </c>
      <c r="H124" t="s">
        <v>194</v>
      </c>
      <c r="I124">
        <v>32149429</v>
      </c>
      <c r="J124">
        <v>12885312</v>
      </c>
      <c r="K124">
        <v>2.5</v>
      </c>
      <c r="L124" s="5" t="str">
        <f t="shared" si="36"/>
        <v>40-49</v>
      </c>
      <c r="M124" s="116">
        <f t="shared" si="37"/>
        <v>2.5</v>
      </c>
      <c r="N124" s="116">
        <f t="shared" si="38"/>
        <v>2.4700000000000002</v>
      </c>
    </row>
    <row r="126" spans="1:14" x14ac:dyDescent="0.2">
      <c r="A126" t="s">
        <v>247</v>
      </c>
      <c r="B126" t="s">
        <v>238</v>
      </c>
      <c r="C126" t="s">
        <v>247</v>
      </c>
      <c r="G126" t="s">
        <v>247</v>
      </c>
      <c r="H126" t="s">
        <v>238</v>
      </c>
      <c r="I126" t="s">
        <v>247</v>
      </c>
    </row>
    <row r="127" spans="1:14" ht="51" x14ac:dyDescent="0.2">
      <c r="B127" t="s">
        <v>259</v>
      </c>
      <c r="C127" t="s">
        <v>248</v>
      </c>
      <c r="D127" t="s">
        <v>249</v>
      </c>
      <c r="E127" s="163" t="s">
        <v>250</v>
      </c>
      <c r="H127" t="s">
        <v>259</v>
      </c>
      <c r="I127" t="s">
        <v>248</v>
      </c>
      <c r="J127" t="s">
        <v>249</v>
      </c>
      <c r="K127" s="163" t="s">
        <v>250</v>
      </c>
      <c r="L127" s="5" t="s">
        <v>253</v>
      </c>
      <c r="M127" s="25" t="s">
        <v>72</v>
      </c>
      <c r="N127" s="5" t="s">
        <v>436</v>
      </c>
    </row>
    <row r="128" spans="1:14" x14ac:dyDescent="0.2">
      <c r="A128">
        <v>1</v>
      </c>
      <c r="B128" t="s">
        <v>366</v>
      </c>
      <c r="C128">
        <v>397171.1</v>
      </c>
      <c r="D128">
        <v>214592.3</v>
      </c>
      <c r="E128" s="163">
        <v>1.85</v>
      </c>
      <c r="G128">
        <v>1</v>
      </c>
      <c r="H128" t="s">
        <v>366</v>
      </c>
      <c r="I128">
        <v>192965.3</v>
      </c>
      <c r="J128">
        <v>222175.1</v>
      </c>
      <c r="K128" s="163">
        <v>0.87</v>
      </c>
      <c r="L128" s="5" t="str">
        <f t="shared" ref="L128:L130" si="39">H128</f>
        <v>&lt;30</v>
      </c>
      <c r="M128" s="165">
        <f>K128</f>
        <v>0.87</v>
      </c>
      <c r="N128" s="165">
        <f>E128</f>
        <v>1.85</v>
      </c>
    </row>
    <row r="129" spans="1:14" x14ac:dyDescent="0.2">
      <c r="A129">
        <v>2</v>
      </c>
      <c r="B129" t="s">
        <v>232</v>
      </c>
      <c r="C129">
        <v>888966.8</v>
      </c>
      <c r="D129">
        <v>452538.5</v>
      </c>
      <c r="E129" s="163">
        <v>1.96</v>
      </c>
      <c r="G129">
        <v>2</v>
      </c>
      <c r="H129" t="s">
        <v>232</v>
      </c>
      <c r="I129">
        <v>530779</v>
      </c>
      <c r="J129">
        <v>452947.5</v>
      </c>
      <c r="K129" s="163">
        <v>1.17</v>
      </c>
      <c r="L129" s="5" t="str">
        <f t="shared" si="39"/>
        <v>30-39</v>
      </c>
      <c r="M129" s="165">
        <f t="shared" ref="M129:M130" si="40">K129</f>
        <v>1.17</v>
      </c>
      <c r="N129" s="165">
        <f t="shared" ref="N129:N130" si="41">E129</f>
        <v>1.96</v>
      </c>
    </row>
    <row r="130" spans="1:14" x14ac:dyDescent="0.2">
      <c r="A130">
        <v>3</v>
      </c>
      <c r="B130" t="s">
        <v>194</v>
      </c>
      <c r="C130">
        <v>1526717.1</v>
      </c>
      <c r="D130">
        <v>657684.19999999995</v>
      </c>
      <c r="E130" s="163">
        <v>2.3199999999999998</v>
      </c>
      <c r="G130">
        <v>3</v>
      </c>
      <c r="H130" t="s">
        <v>194</v>
      </c>
      <c r="I130">
        <v>1127560.3999999999</v>
      </c>
      <c r="J130">
        <v>695749.4</v>
      </c>
      <c r="K130" s="163">
        <v>1.62</v>
      </c>
      <c r="L130" s="5" t="str">
        <f t="shared" si="39"/>
        <v>40-49</v>
      </c>
      <c r="M130" s="165">
        <f t="shared" si="40"/>
        <v>1.62</v>
      </c>
      <c r="N130" s="165">
        <f t="shared" si="41"/>
        <v>2.3199999999999998</v>
      </c>
    </row>
    <row r="132" spans="1:14" x14ac:dyDescent="0.2">
      <c r="A132" t="s">
        <v>247</v>
      </c>
      <c r="B132" t="s">
        <v>239</v>
      </c>
      <c r="C132" t="s">
        <v>247</v>
      </c>
      <c r="G132" t="s">
        <v>247</v>
      </c>
      <c r="H132" t="s">
        <v>239</v>
      </c>
      <c r="I132" t="s">
        <v>247</v>
      </c>
    </row>
    <row r="133" spans="1:14" ht="51" x14ac:dyDescent="0.2">
      <c r="B133" t="s">
        <v>259</v>
      </c>
      <c r="C133" t="s">
        <v>248</v>
      </c>
      <c r="D133" t="s">
        <v>249</v>
      </c>
      <c r="E133" s="163" t="s">
        <v>250</v>
      </c>
      <c r="H133" t="s">
        <v>259</v>
      </c>
      <c r="I133" t="s">
        <v>248</v>
      </c>
      <c r="J133" t="s">
        <v>249</v>
      </c>
      <c r="K133" s="163" t="s">
        <v>250</v>
      </c>
      <c r="L133" s="5" t="s">
        <v>253</v>
      </c>
      <c r="M133" s="25" t="s">
        <v>72</v>
      </c>
      <c r="N133" s="5" t="s">
        <v>73</v>
      </c>
    </row>
    <row r="134" spans="1:14" x14ac:dyDescent="0.2">
      <c r="A134">
        <v>1</v>
      </c>
      <c r="B134" t="s">
        <v>366</v>
      </c>
      <c r="C134">
        <v>9460289</v>
      </c>
      <c r="D134">
        <v>5091044</v>
      </c>
      <c r="E134" s="163">
        <v>1.86</v>
      </c>
      <c r="G134">
        <v>1</v>
      </c>
      <c r="H134" t="s">
        <v>366</v>
      </c>
      <c r="I134">
        <v>3133026</v>
      </c>
      <c r="J134">
        <v>5131391</v>
      </c>
      <c r="K134" s="163">
        <v>0.61</v>
      </c>
      <c r="L134" s="5" t="str">
        <f t="shared" ref="L134:L136" si="42">H134</f>
        <v>&lt;30</v>
      </c>
      <c r="M134" s="165">
        <f>K134</f>
        <v>0.61</v>
      </c>
      <c r="N134" s="165">
        <f>E134</f>
        <v>1.86</v>
      </c>
    </row>
    <row r="135" spans="1:14" x14ac:dyDescent="0.2">
      <c r="A135">
        <v>2</v>
      </c>
      <c r="B135" t="s">
        <v>232</v>
      </c>
      <c r="C135">
        <v>7856757</v>
      </c>
      <c r="D135">
        <v>3706695</v>
      </c>
      <c r="E135" s="163">
        <v>2.12</v>
      </c>
      <c r="G135">
        <v>2</v>
      </c>
      <c r="H135" t="s">
        <v>232</v>
      </c>
      <c r="I135">
        <v>5494667</v>
      </c>
      <c r="J135">
        <v>3721373</v>
      </c>
      <c r="K135" s="163">
        <v>1.48</v>
      </c>
      <c r="L135" s="5" t="str">
        <f t="shared" si="42"/>
        <v>30-39</v>
      </c>
      <c r="M135" s="165">
        <f t="shared" ref="M135:M136" si="43">K135</f>
        <v>1.48</v>
      </c>
      <c r="N135" s="165">
        <f t="shared" ref="N135:N136" si="44">E135</f>
        <v>2.12</v>
      </c>
    </row>
    <row r="136" spans="1:14" x14ac:dyDescent="0.2">
      <c r="A136">
        <v>3</v>
      </c>
      <c r="B136" t="s">
        <v>194</v>
      </c>
      <c r="C136">
        <v>6857155</v>
      </c>
      <c r="D136">
        <v>2987597</v>
      </c>
      <c r="E136" s="163">
        <v>2.2999999999999998</v>
      </c>
      <c r="G136">
        <v>3</v>
      </c>
      <c r="H136" t="s">
        <v>194</v>
      </c>
      <c r="I136">
        <v>5999060</v>
      </c>
      <c r="J136">
        <v>3020581</v>
      </c>
      <c r="K136" s="163">
        <v>1.99</v>
      </c>
      <c r="L136" s="5" t="str">
        <f t="shared" si="42"/>
        <v>40-49</v>
      </c>
      <c r="M136" s="165">
        <f t="shared" si="43"/>
        <v>1.99</v>
      </c>
      <c r="N136" s="165">
        <f t="shared" si="44"/>
        <v>2.2999999999999998</v>
      </c>
    </row>
    <row r="137" spans="1:14" x14ac:dyDescent="0.2">
      <c r="E137" s="163"/>
    </row>
    <row r="138" spans="1:14" x14ac:dyDescent="0.2">
      <c r="A138" t="s">
        <v>247</v>
      </c>
      <c r="B138" t="s">
        <v>168</v>
      </c>
      <c r="C138" t="s">
        <v>247</v>
      </c>
      <c r="G138" t="s">
        <v>247</v>
      </c>
      <c r="H138" t="s">
        <v>168</v>
      </c>
      <c r="I138" t="s">
        <v>247</v>
      </c>
    </row>
    <row r="139" spans="1:14" ht="51" x14ac:dyDescent="0.2">
      <c r="B139" t="s">
        <v>259</v>
      </c>
      <c r="C139" t="s">
        <v>248</v>
      </c>
      <c r="D139" t="s">
        <v>249</v>
      </c>
      <c r="E139" t="s">
        <v>250</v>
      </c>
      <c r="H139" t="s">
        <v>259</v>
      </c>
      <c r="I139" t="s">
        <v>248</v>
      </c>
      <c r="J139" t="s">
        <v>249</v>
      </c>
      <c r="K139" t="s">
        <v>250</v>
      </c>
      <c r="L139" s="5" t="s">
        <v>253</v>
      </c>
      <c r="M139" s="25" t="s">
        <v>72</v>
      </c>
      <c r="N139" s="5" t="s">
        <v>73</v>
      </c>
    </row>
    <row r="140" spans="1:14" x14ac:dyDescent="0.2">
      <c r="A140">
        <v>1</v>
      </c>
      <c r="B140" t="s">
        <v>366</v>
      </c>
      <c r="C140">
        <v>18373340</v>
      </c>
      <c r="D140">
        <v>9702562</v>
      </c>
      <c r="E140">
        <v>1.89</v>
      </c>
      <c r="G140">
        <v>1</v>
      </c>
      <c r="H140" t="s">
        <v>366</v>
      </c>
      <c r="I140">
        <v>7463969</v>
      </c>
      <c r="J140">
        <v>9822083</v>
      </c>
      <c r="K140">
        <v>0.76</v>
      </c>
      <c r="L140" s="5" t="str">
        <f t="shared" ref="L140:L142" si="45">H140</f>
        <v>&lt;30</v>
      </c>
      <c r="M140" s="116">
        <f>K140</f>
        <v>0.76</v>
      </c>
      <c r="N140" s="116">
        <f>E140</f>
        <v>1.89</v>
      </c>
    </row>
    <row r="141" spans="1:14" x14ac:dyDescent="0.2">
      <c r="A141">
        <v>2</v>
      </c>
      <c r="B141" t="s">
        <v>232</v>
      </c>
      <c r="C141">
        <v>12904590</v>
      </c>
      <c r="D141">
        <v>6106329</v>
      </c>
      <c r="E141">
        <v>2.11</v>
      </c>
      <c r="G141">
        <v>2</v>
      </c>
      <c r="H141" t="s">
        <v>232</v>
      </c>
      <c r="I141">
        <v>12720336</v>
      </c>
      <c r="J141">
        <v>6139318</v>
      </c>
      <c r="K141">
        <v>2.0699999999999998</v>
      </c>
      <c r="L141" s="5" t="str">
        <f t="shared" si="45"/>
        <v>30-39</v>
      </c>
      <c r="M141" s="116">
        <f t="shared" ref="M141:M142" si="46">K141</f>
        <v>2.0699999999999998</v>
      </c>
      <c r="N141" s="116">
        <f t="shared" ref="N141:N142" si="47">E141</f>
        <v>2.11</v>
      </c>
    </row>
    <row r="142" spans="1:14" x14ac:dyDescent="0.2">
      <c r="A142">
        <v>3</v>
      </c>
      <c r="B142" t="s">
        <v>194</v>
      </c>
      <c r="C142">
        <v>12896845</v>
      </c>
      <c r="D142">
        <v>5144710</v>
      </c>
      <c r="E142">
        <v>2.5099999999999998</v>
      </c>
      <c r="G142">
        <v>3</v>
      </c>
      <c r="H142" t="s">
        <v>194</v>
      </c>
      <c r="I142">
        <v>13825932</v>
      </c>
      <c r="J142">
        <v>5193953</v>
      </c>
      <c r="K142">
        <v>2.66</v>
      </c>
      <c r="L142" s="5" t="str">
        <f t="shared" si="45"/>
        <v>40-49</v>
      </c>
      <c r="M142" s="116">
        <f t="shared" si="46"/>
        <v>2.66</v>
      </c>
      <c r="N142" s="116">
        <f t="shared" si="47"/>
        <v>2.5099999999999998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71AEAA-7E5E-8A4F-B3C2-B24897D1CC60}">
  <dimension ref="A4:O75"/>
  <sheetViews>
    <sheetView showGridLines="0" topLeftCell="A14" zoomScale="138" workbookViewId="0">
      <selection activeCell="H28" sqref="H28"/>
    </sheetView>
  </sheetViews>
  <sheetFormatPr baseColWidth="10" defaultRowHeight="16" x14ac:dyDescent="0.2"/>
  <cols>
    <col min="1" max="1" width="18.5" style="124" customWidth="1"/>
    <col min="2" max="2" width="12" style="124" customWidth="1"/>
    <col min="3" max="3" width="10.83203125" style="126"/>
    <col min="4" max="5" width="10.83203125" style="124"/>
    <col min="6" max="6" width="30.1640625" style="124" customWidth="1"/>
    <col min="7" max="7" width="10.83203125" style="124" customWidth="1"/>
    <col min="8" max="16384" width="10.83203125" style="124"/>
  </cols>
  <sheetData>
    <row r="4" spans="2:15" ht="85" x14ac:dyDescent="0.2">
      <c r="B4" s="31" t="s">
        <v>282</v>
      </c>
      <c r="C4" s="31" t="s">
        <v>281</v>
      </c>
      <c r="D4" s="31" t="s">
        <v>283</v>
      </c>
      <c r="E4" s="31" t="s">
        <v>284</v>
      </c>
      <c r="F4" s="31" t="s">
        <v>285</v>
      </c>
      <c r="G4" s="31" t="s">
        <v>286</v>
      </c>
      <c r="H4" s="31" t="s">
        <v>287</v>
      </c>
      <c r="J4" s="33" t="s">
        <v>295</v>
      </c>
      <c r="K4" s="33" t="s">
        <v>239</v>
      </c>
      <c r="L4" s="33" t="s">
        <v>168</v>
      </c>
      <c r="M4" s="33" t="s">
        <v>266</v>
      </c>
    </row>
    <row r="5" spans="2:15" ht="34" x14ac:dyDescent="0.2">
      <c r="B5" s="31" t="s">
        <v>288</v>
      </c>
      <c r="C5" s="144">
        <v>2.0499999999999998</v>
      </c>
      <c r="D5" s="31">
        <v>1.94</v>
      </c>
      <c r="E5" s="145">
        <f>K8</f>
        <v>0.65536664218858698</v>
      </c>
      <c r="F5" s="145">
        <f>K17</f>
        <v>0.24816232576645939</v>
      </c>
      <c r="G5" s="31">
        <v>1.97</v>
      </c>
      <c r="H5" s="31">
        <v>1.83</v>
      </c>
      <c r="J5" s="33">
        <v>0</v>
      </c>
      <c r="K5" s="146">
        <v>1056038.7</v>
      </c>
      <c r="L5" s="146">
        <v>1412176.5</v>
      </c>
      <c r="M5" s="146">
        <v>145429.29999999999</v>
      </c>
    </row>
    <row r="6" spans="2:15" ht="51" x14ac:dyDescent="0.2">
      <c r="B6" s="31" t="s">
        <v>289</v>
      </c>
      <c r="C6" s="31">
        <v>2.11</v>
      </c>
      <c r="D6" s="31">
        <v>1.92</v>
      </c>
      <c r="E6" s="145">
        <f>L8</f>
        <v>0.65677888894011716</v>
      </c>
      <c r="F6" s="145">
        <f>L17</f>
        <v>0.22706939745128832</v>
      </c>
      <c r="G6" s="147">
        <v>2.67</v>
      </c>
      <c r="H6" s="147">
        <v>2.5</v>
      </c>
      <c r="J6" s="33">
        <v>1</v>
      </c>
      <c r="K6" s="146">
        <v>2008199.5</v>
      </c>
      <c r="L6" s="146">
        <v>2702303.8</v>
      </c>
      <c r="M6" s="146">
        <v>207976.9</v>
      </c>
    </row>
    <row r="7" spans="2:15" ht="34" x14ac:dyDescent="0.2">
      <c r="B7" s="31" t="s">
        <v>290</v>
      </c>
      <c r="C7" s="31">
        <v>2.12</v>
      </c>
      <c r="D7" s="31">
        <v>1.88</v>
      </c>
      <c r="E7" s="145">
        <f>M8</f>
        <v>0.58849250522486596</v>
      </c>
      <c r="F7" s="145">
        <f>M17</f>
        <v>0.21884041052112319</v>
      </c>
      <c r="G7" s="31">
        <v>1.62</v>
      </c>
      <c r="H7" s="147">
        <v>1.52</v>
      </c>
      <c r="J7" s="33" t="s">
        <v>168</v>
      </c>
      <c r="K7" s="33">
        <f>K5/SUM(K5:K6)</f>
        <v>0.34463335781141291</v>
      </c>
      <c r="L7" s="33">
        <f t="shared" ref="L7:M7" si="0">L5/SUM(L5:L6)</f>
        <v>0.34322111105988284</v>
      </c>
      <c r="M7" s="33">
        <f t="shared" si="0"/>
        <v>0.41150749477513415</v>
      </c>
    </row>
    <row r="8" spans="2:15" x14ac:dyDescent="0.2">
      <c r="J8" s="33" t="s">
        <v>239</v>
      </c>
      <c r="K8" s="148">
        <f>K6/SUM(K5:K6)</f>
        <v>0.65536664218858698</v>
      </c>
      <c r="L8" s="148">
        <f t="shared" ref="L8:M8" si="1">L6/SUM(L5:L6)</f>
        <v>0.65677888894011716</v>
      </c>
      <c r="M8" s="148">
        <f t="shared" si="1"/>
        <v>0.58849250522486596</v>
      </c>
    </row>
    <row r="13" spans="2:15" x14ac:dyDescent="0.2">
      <c r="J13" s="33" t="s">
        <v>298</v>
      </c>
      <c r="K13" s="33" t="s">
        <v>239</v>
      </c>
      <c r="L13" s="33" t="s">
        <v>168</v>
      </c>
      <c r="M13" s="33" t="s">
        <v>266</v>
      </c>
    </row>
    <row r="14" spans="2:15" ht="85" x14ac:dyDescent="0.2">
      <c r="B14" s="31" t="s">
        <v>304</v>
      </c>
      <c r="C14" s="31" t="s">
        <v>281</v>
      </c>
      <c r="D14" s="31" t="s">
        <v>283</v>
      </c>
      <c r="E14" s="31" t="s">
        <v>284</v>
      </c>
      <c r="F14" s="31" t="s">
        <v>285</v>
      </c>
      <c r="G14" s="31" t="s">
        <v>286</v>
      </c>
      <c r="H14" s="31" t="s">
        <v>287</v>
      </c>
      <c r="J14" s="33">
        <v>0</v>
      </c>
      <c r="K14" s="33">
        <v>2016892.06</v>
      </c>
      <c r="L14" s="33">
        <v>3810645.94</v>
      </c>
      <c r="M14" s="33">
        <v>308474.61</v>
      </c>
    </row>
    <row r="15" spans="2:15" ht="34" x14ac:dyDescent="0.2">
      <c r="B15" s="31" t="s">
        <v>288</v>
      </c>
      <c r="C15" s="149" t="s">
        <v>291</v>
      </c>
      <c r="D15" s="149" t="s">
        <v>291</v>
      </c>
      <c r="E15" s="149" t="s">
        <v>291</v>
      </c>
      <c r="F15" s="149" t="s">
        <v>291</v>
      </c>
      <c r="G15" s="149" t="s">
        <v>291</v>
      </c>
      <c r="H15" s="149" t="s">
        <v>291</v>
      </c>
      <c r="J15" s="33">
        <v>1</v>
      </c>
      <c r="K15" s="33">
        <v>665724.31999999995</v>
      </c>
      <c r="L15" s="33">
        <v>1119480.94</v>
      </c>
      <c r="M15" s="33">
        <v>86418.59</v>
      </c>
      <c r="N15" s="126"/>
      <c r="O15" s="126"/>
    </row>
    <row r="16" spans="2:15" ht="51" x14ac:dyDescent="0.2">
      <c r="B16" s="31" t="s">
        <v>289</v>
      </c>
      <c r="C16" s="31" t="s">
        <v>293</v>
      </c>
      <c r="D16" s="31" t="s">
        <v>294</v>
      </c>
      <c r="E16" s="31">
        <v>-0.01</v>
      </c>
      <c r="F16" s="31">
        <v>0.13</v>
      </c>
      <c r="G16" s="31" t="s">
        <v>299</v>
      </c>
      <c r="H16" s="31" t="s">
        <v>302</v>
      </c>
      <c r="J16" s="33" t="s">
        <v>168</v>
      </c>
      <c r="K16" s="33">
        <f>K14/SUM(K14:K15)</f>
        <v>0.75183767423354064</v>
      </c>
      <c r="L16" s="33">
        <f t="shared" ref="L16" si="2">L14/SUM(L14:L15)</f>
        <v>0.77293060254871171</v>
      </c>
      <c r="M16" s="33">
        <f t="shared" ref="M16" si="3">M14/SUM(M14:M15)</f>
        <v>0.78115958947887687</v>
      </c>
    </row>
    <row r="17" spans="1:13" ht="34" x14ac:dyDescent="0.2">
      <c r="B17" s="150" t="s">
        <v>290</v>
      </c>
      <c r="C17" s="150" t="s">
        <v>292</v>
      </c>
      <c r="D17" s="150">
        <v>1.21</v>
      </c>
      <c r="E17" s="151">
        <v>0.1</v>
      </c>
      <c r="F17" s="150" t="s">
        <v>303</v>
      </c>
      <c r="G17" s="150">
        <v>0.18</v>
      </c>
      <c r="H17" s="150" t="s">
        <v>301</v>
      </c>
      <c r="J17" s="33" t="s">
        <v>239</v>
      </c>
      <c r="K17" s="148">
        <f>K15/SUM(K14:K15)</f>
        <v>0.24816232576645939</v>
      </c>
      <c r="L17" s="148">
        <f t="shared" ref="L17:M17" si="4">L15/SUM(L14:L15)</f>
        <v>0.22706939745128832</v>
      </c>
      <c r="M17" s="148">
        <f t="shared" si="4"/>
        <v>0.21884041052112319</v>
      </c>
    </row>
    <row r="18" spans="1:13" x14ac:dyDescent="0.2">
      <c r="B18" s="152" t="s">
        <v>300</v>
      </c>
      <c r="C18" s="117"/>
      <c r="D18" s="153"/>
      <c r="E18" s="153"/>
      <c r="F18" s="153"/>
      <c r="G18" s="153"/>
      <c r="H18" s="154"/>
    </row>
    <row r="19" spans="1:13" x14ac:dyDescent="0.2">
      <c r="C19" s="126" t="s">
        <v>296</v>
      </c>
      <c r="D19" s="126" t="s">
        <v>296</v>
      </c>
      <c r="E19" s="124" t="s">
        <v>297</v>
      </c>
      <c r="F19" s="124" t="s">
        <v>297</v>
      </c>
      <c r="G19" s="126" t="s">
        <v>296</v>
      </c>
      <c r="H19" s="126" t="s">
        <v>296</v>
      </c>
    </row>
    <row r="25" spans="1:13" x14ac:dyDescent="0.2">
      <c r="A25" s="124" t="s">
        <v>357</v>
      </c>
    </row>
    <row r="26" spans="1:13" ht="51" x14ac:dyDescent="0.2">
      <c r="A26" s="35" t="s">
        <v>308</v>
      </c>
      <c r="B26" s="35" t="s">
        <v>309</v>
      </c>
      <c r="C26" s="35" t="s">
        <v>305</v>
      </c>
      <c r="D26" s="35" t="s">
        <v>310</v>
      </c>
      <c r="E26" s="35" t="s">
        <v>306</v>
      </c>
      <c r="F26" s="35" t="s">
        <v>311</v>
      </c>
      <c r="G26" s="155"/>
    </row>
    <row r="27" spans="1:13" ht="51" x14ac:dyDescent="0.2">
      <c r="A27" s="35" t="s">
        <v>312</v>
      </c>
      <c r="B27" s="31" t="s">
        <v>313</v>
      </c>
      <c r="C27" s="35">
        <v>0.38500000000000001</v>
      </c>
      <c r="D27" s="35" t="s">
        <v>307</v>
      </c>
      <c r="E27" s="156">
        <v>26250</v>
      </c>
      <c r="F27" s="31" t="s">
        <v>327</v>
      </c>
      <c r="G27" s="155"/>
    </row>
    <row r="28" spans="1:13" ht="51" x14ac:dyDescent="0.2">
      <c r="A28" s="35" t="s">
        <v>314</v>
      </c>
      <c r="B28" s="31" t="s">
        <v>315</v>
      </c>
      <c r="C28" s="35">
        <v>0.38800000000000001</v>
      </c>
      <c r="D28" s="35" t="s">
        <v>307</v>
      </c>
      <c r="E28" s="156">
        <v>26144</v>
      </c>
      <c r="F28" s="31" t="s">
        <v>328</v>
      </c>
      <c r="G28" s="155"/>
    </row>
    <row r="29" spans="1:13" ht="85" x14ac:dyDescent="0.2">
      <c r="A29" s="35" t="s">
        <v>316</v>
      </c>
      <c r="B29" s="31" t="s">
        <v>317</v>
      </c>
      <c r="C29" s="35">
        <v>0.29799999999999999</v>
      </c>
      <c r="D29" s="35">
        <v>2E-3</v>
      </c>
      <c r="E29" s="156">
        <v>25840</v>
      </c>
      <c r="F29" s="31" t="s">
        <v>329</v>
      </c>
      <c r="G29" s="155"/>
    </row>
    <row r="30" spans="1:13" ht="68" x14ac:dyDescent="0.2">
      <c r="A30" s="35" t="s">
        <v>318</v>
      </c>
      <c r="B30" s="31" t="s">
        <v>319</v>
      </c>
      <c r="C30" s="35">
        <v>0.186</v>
      </c>
      <c r="D30" s="35">
        <v>5.8999999999999997E-2</v>
      </c>
      <c r="E30" s="156">
        <v>25692</v>
      </c>
      <c r="F30" s="31" t="s">
        <v>330</v>
      </c>
      <c r="G30" s="155"/>
    </row>
    <row r="31" spans="1:13" ht="102" x14ac:dyDescent="0.2">
      <c r="A31" s="35" t="s">
        <v>320</v>
      </c>
      <c r="B31" s="31" t="s">
        <v>321</v>
      </c>
      <c r="C31" s="35">
        <v>0.14399999999999999</v>
      </c>
      <c r="D31" s="157">
        <v>0.14599999999999999</v>
      </c>
      <c r="E31" s="156">
        <v>25647</v>
      </c>
      <c r="F31" s="31" t="s">
        <v>331</v>
      </c>
    </row>
    <row r="34" spans="1:6" x14ac:dyDescent="0.2">
      <c r="A34" s="124" t="s">
        <v>356</v>
      </c>
    </row>
    <row r="35" spans="1:6" ht="51" x14ac:dyDescent="0.2">
      <c r="A35" s="35" t="s">
        <v>308</v>
      </c>
      <c r="B35" s="35" t="s">
        <v>309</v>
      </c>
      <c r="C35" s="35" t="s">
        <v>305</v>
      </c>
      <c r="D35" s="35" t="s">
        <v>310</v>
      </c>
      <c r="E35" s="35" t="s">
        <v>306</v>
      </c>
      <c r="F35" s="35" t="s">
        <v>311</v>
      </c>
    </row>
    <row r="36" spans="1:6" ht="51" x14ac:dyDescent="0.2">
      <c r="A36" s="35" t="s">
        <v>312</v>
      </c>
      <c r="B36" s="31" t="s">
        <v>313</v>
      </c>
      <c r="C36" s="35">
        <v>0.28499999999999998</v>
      </c>
      <c r="D36" s="35">
        <v>6.7000000000000004E-2</v>
      </c>
      <c r="E36" s="156">
        <v>14025</v>
      </c>
      <c r="F36" s="31" t="s">
        <v>332</v>
      </c>
    </row>
    <row r="37" spans="1:6" ht="85" x14ac:dyDescent="0.2">
      <c r="A37" s="35" t="s">
        <v>314</v>
      </c>
      <c r="B37" s="31" t="s">
        <v>315</v>
      </c>
      <c r="C37" s="35">
        <v>0.25700000000000001</v>
      </c>
      <c r="D37" s="35">
        <v>0.105</v>
      </c>
      <c r="E37" s="156">
        <v>14012</v>
      </c>
      <c r="F37" s="31" t="s">
        <v>333</v>
      </c>
    </row>
    <row r="38" spans="1:6" ht="85" x14ac:dyDescent="0.2">
      <c r="A38" s="35" t="s">
        <v>316</v>
      </c>
      <c r="B38" s="31" t="s">
        <v>317</v>
      </c>
      <c r="C38" s="35">
        <v>0.219</v>
      </c>
      <c r="D38" s="35">
        <v>0.16700000000000001</v>
      </c>
      <c r="E38" s="156">
        <v>13939</v>
      </c>
      <c r="F38" s="31" t="s">
        <v>334</v>
      </c>
    </row>
    <row r="39" spans="1:6" ht="68" x14ac:dyDescent="0.2">
      <c r="A39" s="35" t="s">
        <v>318</v>
      </c>
      <c r="B39" s="31" t="s">
        <v>319</v>
      </c>
      <c r="C39" s="35">
        <v>0.193</v>
      </c>
      <c r="D39" s="35">
        <v>0.223</v>
      </c>
      <c r="E39" s="156">
        <v>13923</v>
      </c>
      <c r="F39" s="31" t="s">
        <v>335</v>
      </c>
    </row>
    <row r="40" spans="1:6" ht="85" x14ac:dyDescent="0.2">
      <c r="A40" s="35" t="s">
        <v>320</v>
      </c>
      <c r="B40" s="31" t="s">
        <v>321</v>
      </c>
      <c r="C40" s="35">
        <v>0.15</v>
      </c>
      <c r="D40" s="157">
        <v>0.34300000000000003</v>
      </c>
      <c r="E40" s="156">
        <v>13902</v>
      </c>
      <c r="F40" s="31" t="s">
        <v>336</v>
      </c>
    </row>
    <row r="43" spans="1:6" x14ac:dyDescent="0.2">
      <c r="A43" s="124" t="s">
        <v>358</v>
      </c>
    </row>
    <row r="44" spans="1:6" ht="136" x14ac:dyDescent="0.2">
      <c r="A44" s="35" t="s">
        <v>308</v>
      </c>
      <c r="B44" s="35" t="s">
        <v>309</v>
      </c>
      <c r="C44" s="35" t="s">
        <v>325</v>
      </c>
      <c r="D44" s="35" t="s">
        <v>310</v>
      </c>
      <c r="E44" s="35" t="s">
        <v>306</v>
      </c>
      <c r="F44" s="35" t="s">
        <v>311</v>
      </c>
    </row>
    <row r="45" spans="1:6" ht="68" x14ac:dyDescent="0.2">
      <c r="A45" s="35" t="s">
        <v>312</v>
      </c>
      <c r="B45" s="31" t="s">
        <v>313</v>
      </c>
      <c r="C45" s="35">
        <v>0.13200000000000001</v>
      </c>
      <c r="D45" s="35">
        <v>0.58199999999999996</v>
      </c>
      <c r="E45" s="156">
        <v>2498</v>
      </c>
      <c r="F45" s="31" t="s">
        <v>322</v>
      </c>
    </row>
    <row r="46" spans="1:6" ht="85" x14ac:dyDescent="0.2">
      <c r="A46" s="35" t="s">
        <v>314</v>
      </c>
      <c r="B46" s="31" t="s">
        <v>315</v>
      </c>
      <c r="C46" s="35">
        <v>4.7E-2</v>
      </c>
      <c r="D46" s="35">
        <v>0.85</v>
      </c>
      <c r="E46" s="156">
        <v>2500</v>
      </c>
      <c r="F46" s="31" t="s">
        <v>337</v>
      </c>
    </row>
    <row r="47" spans="1:6" ht="68" x14ac:dyDescent="0.2">
      <c r="A47" s="35" t="s">
        <v>316</v>
      </c>
      <c r="B47" s="31" t="s">
        <v>317</v>
      </c>
      <c r="C47" s="35">
        <v>7.9000000000000001E-2</v>
      </c>
      <c r="D47" s="35">
        <v>0.751</v>
      </c>
      <c r="E47" s="156">
        <v>2481</v>
      </c>
      <c r="F47" s="31" t="s">
        <v>338</v>
      </c>
    </row>
    <row r="48" spans="1:6" ht="68" x14ac:dyDescent="0.2">
      <c r="A48" s="35" t="s">
        <v>318</v>
      </c>
      <c r="B48" s="31" t="s">
        <v>319</v>
      </c>
      <c r="C48" s="35">
        <v>0.11700000000000001</v>
      </c>
      <c r="D48" s="35">
        <v>0.64</v>
      </c>
      <c r="E48" s="156">
        <v>2480</v>
      </c>
      <c r="F48" s="31" t="s">
        <v>339</v>
      </c>
    </row>
    <row r="49" spans="1:6" ht="85" x14ac:dyDescent="0.2">
      <c r="A49" s="35" t="s">
        <v>320</v>
      </c>
      <c r="B49" s="31" t="s">
        <v>321</v>
      </c>
      <c r="C49" s="35">
        <v>9.7000000000000003E-2</v>
      </c>
      <c r="D49" s="157">
        <v>0.7</v>
      </c>
      <c r="E49" s="156">
        <v>2485</v>
      </c>
      <c r="F49" s="31" t="s">
        <v>340</v>
      </c>
    </row>
    <row r="51" spans="1:6" x14ac:dyDescent="0.2">
      <c r="A51" s="124" t="s">
        <v>359</v>
      </c>
    </row>
    <row r="52" spans="1:6" ht="119" x14ac:dyDescent="0.2">
      <c r="A52" s="35" t="s">
        <v>308</v>
      </c>
      <c r="B52" s="31" t="s">
        <v>309</v>
      </c>
      <c r="C52" s="35" t="s">
        <v>324</v>
      </c>
      <c r="D52" s="35" t="s">
        <v>310</v>
      </c>
      <c r="E52" s="156" t="s">
        <v>306</v>
      </c>
      <c r="F52" s="31" t="s">
        <v>311</v>
      </c>
    </row>
    <row r="53" spans="1:6" ht="68" x14ac:dyDescent="0.2">
      <c r="A53" s="35" t="s">
        <v>312</v>
      </c>
      <c r="B53" s="31" t="s">
        <v>313</v>
      </c>
      <c r="C53" s="35">
        <v>0.378</v>
      </c>
      <c r="D53" s="35">
        <v>6.8000000000000005E-2</v>
      </c>
      <c r="E53" s="156">
        <v>2615</v>
      </c>
      <c r="F53" s="31" t="s">
        <v>323</v>
      </c>
    </row>
    <row r="54" spans="1:6" ht="68" x14ac:dyDescent="0.2">
      <c r="A54" s="35" t="s">
        <v>314</v>
      </c>
      <c r="B54" s="31" t="s">
        <v>315</v>
      </c>
      <c r="C54" s="35">
        <v>0.379</v>
      </c>
      <c r="D54" s="35">
        <v>7.2999999999999995E-2</v>
      </c>
      <c r="E54" s="156">
        <v>2613</v>
      </c>
      <c r="F54" s="31" t="s">
        <v>342</v>
      </c>
    </row>
    <row r="55" spans="1:6" ht="68" x14ac:dyDescent="0.2">
      <c r="A55" s="35" t="s">
        <v>316</v>
      </c>
      <c r="B55" s="31" t="s">
        <v>317</v>
      </c>
      <c r="C55" s="35">
        <v>0.35299999999999998</v>
      </c>
      <c r="D55" s="35">
        <v>9.5000000000000001E-2</v>
      </c>
      <c r="E55" s="156">
        <v>2611</v>
      </c>
      <c r="F55" s="31" t="s">
        <v>343</v>
      </c>
    </row>
    <row r="56" spans="1:6" ht="68" x14ac:dyDescent="0.2">
      <c r="A56" s="35" t="s">
        <v>318</v>
      </c>
      <c r="B56" s="31" t="s">
        <v>319</v>
      </c>
      <c r="C56" s="35">
        <v>0.34</v>
      </c>
      <c r="D56" s="35">
        <v>0.109</v>
      </c>
      <c r="E56" s="156">
        <v>2612</v>
      </c>
      <c r="F56" s="31" t="s">
        <v>344</v>
      </c>
    </row>
    <row r="57" spans="1:6" ht="85" x14ac:dyDescent="0.2">
      <c r="A57" s="35" t="s">
        <v>320</v>
      </c>
      <c r="B57" s="31" t="s">
        <v>321</v>
      </c>
      <c r="C57" s="35">
        <v>0.28000000000000003</v>
      </c>
      <c r="D57" s="157">
        <v>0.192</v>
      </c>
      <c r="E57" s="156">
        <v>2606</v>
      </c>
      <c r="F57" s="31" t="s">
        <v>345</v>
      </c>
    </row>
    <row r="60" spans="1:6" x14ac:dyDescent="0.2">
      <c r="A60" s="124" t="s">
        <v>354</v>
      </c>
    </row>
    <row r="61" spans="1:6" ht="51" x14ac:dyDescent="0.2">
      <c r="A61" s="35" t="s">
        <v>308</v>
      </c>
      <c r="B61" s="31" t="s">
        <v>309</v>
      </c>
      <c r="C61" s="35" t="s">
        <v>305</v>
      </c>
      <c r="D61" s="35" t="s">
        <v>310</v>
      </c>
      <c r="E61" s="156" t="s">
        <v>306</v>
      </c>
      <c r="F61" s="31" t="s">
        <v>311</v>
      </c>
    </row>
    <row r="62" spans="1:6" ht="68" x14ac:dyDescent="0.2">
      <c r="A62" s="35" t="s">
        <v>312</v>
      </c>
      <c r="B62" s="31" t="s">
        <v>313</v>
      </c>
      <c r="C62" s="35">
        <v>-0.2</v>
      </c>
      <c r="D62" s="35">
        <v>0.15</v>
      </c>
      <c r="E62" s="156">
        <v>7603</v>
      </c>
      <c r="F62" s="31" t="s">
        <v>326</v>
      </c>
    </row>
    <row r="63" spans="1:6" ht="85" x14ac:dyDescent="0.2">
      <c r="A63" s="35" t="s">
        <v>314</v>
      </c>
      <c r="B63" s="31" t="s">
        <v>315</v>
      </c>
      <c r="C63" s="35">
        <v>0.25700000000000001</v>
      </c>
      <c r="D63" s="35">
        <v>0.105</v>
      </c>
      <c r="E63" s="156">
        <v>14012</v>
      </c>
      <c r="F63" s="31" t="s">
        <v>341</v>
      </c>
    </row>
    <row r="64" spans="1:6" ht="68" x14ac:dyDescent="0.2">
      <c r="A64" s="35" t="s">
        <v>316</v>
      </c>
      <c r="B64" s="31" t="s">
        <v>317</v>
      </c>
      <c r="C64" s="35">
        <v>0.219</v>
      </c>
      <c r="D64" s="35">
        <v>0.16700000000000001</v>
      </c>
      <c r="E64" s="156">
        <v>13939</v>
      </c>
      <c r="F64" s="31" t="s">
        <v>346</v>
      </c>
    </row>
    <row r="65" spans="1:6" ht="68" hidden="1" x14ac:dyDescent="0.2">
      <c r="A65" s="35" t="s">
        <v>318</v>
      </c>
      <c r="B65" s="31" t="s">
        <v>319</v>
      </c>
      <c r="C65" s="35">
        <v>0.193</v>
      </c>
      <c r="D65" s="35">
        <v>0.223</v>
      </c>
      <c r="E65" s="156">
        <v>13923</v>
      </c>
      <c r="F65" s="31" t="s">
        <v>347</v>
      </c>
    </row>
    <row r="66" spans="1:6" ht="85" x14ac:dyDescent="0.2">
      <c r="A66" s="35" t="s">
        <v>320</v>
      </c>
      <c r="B66" s="31" t="s">
        <v>321</v>
      </c>
      <c r="C66" s="35">
        <v>0.18</v>
      </c>
      <c r="D66" s="158">
        <v>0.26365349999999999</v>
      </c>
      <c r="E66" s="156">
        <v>13918.179</v>
      </c>
      <c r="F66" s="31" t="s">
        <v>348</v>
      </c>
    </row>
    <row r="69" spans="1:6" x14ac:dyDescent="0.2">
      <c r="A69" s="124" t="s">
        <v>355</v>
      </c>
    </row>
    <row r="70" spans="1:6" ht="51" x14ac:dyDescent="0.2">
      <c r="A70" s="35" t="s">
        <v>308</v>
      </c>
      <c r="B70" s="31" t="s">
        <v>309</v>
      </c>
      <c r="C70" s="35" t="s">
        <v>305</v>
      </c>
      <c r="D70" s="35" t="s">
        <v>310</v>
      </c>
      <c r="E70" s="156" t="s">
        <v>306</v>
      </c>
      <c r="F70" s="31" t="s">
        <v>311</v>
      </c>
    </row>
    <row r="71" spans="1:6" ht="51" x14ac:dyDescent="0.2">
      <c r="A71" s="35" t="s">
        <v>312</v>
      </c>
      <c r="B71" s="31" t="s">
        <v>313</v>
      </c>
      <c r="C71" s="35">
        <v>-0.193</v>
      </c>
      <c r="D71" s="35">
        <v>0.10100000000000001</v>
      </c>
      <c r="E71" s="156">
        <v>12025</v>
      </c>
      <c r="F71" s="31" t="s">
        <v>349</v>
      </c>
    </row>
    <row r="72" spans="1:6" ht="68" x14ac:dyDescent="0.2">
      <c r="A72" s="35" t="s">
        <v>314</v>
      </c>
      <c r="B72" s="31" t="s">
        <v>315</v>
      </c>
      <c r="C72" s="35">
        <v>0.16500000000000001</v>
      </c>
      <c r="D72" s="35">
        <v>0.17299999999999999</v>
      </c>
      <c r="E72" s="156">
        <v>11578</v>
      </c>
      <c r="F72" s="31" t="s">
        <v>350</v>
      </c>
    </row>
    <row r="73" spans="1:6" ht="102" x14ac:dyDescent="0.2">
      <c r="A73" s="35" t="s">
        <v>316</v>
      </c>
      <c r="B73" s="31" t="s">
        <v>317</v>
      </c>
      <c r="C73" s="35">
        <v>0.20699999999999999</v>
      </c>
      <c r="D73" s="157">
        <v>9.1999999999999998E-2</v>
      </c>
      <c r="E73" s="156">
        <v>10966</v>
      </c>
      <c r="F73" s="31" t="s">
        <v>351</v>
      </c>
    </row>
    <row r="74" spans="1:6" ht="68" hidden="1" x14ac:dyDescent="0.2">
      <c r="A74" s="35" t="s">
        <v>318</v>
      </c>
      <c r="B74" s="31" t="s">
        <v>319</v>
      </c>
      <c r="C74" s="35">
        <v>0.16700000000000001</v>
      </c>
      <c r="D74" s="35">
        <v>0.17199999999999999</v>
      </c>
      <c r="E74" s="156">
        <v>10897</v>
      </c>
      <c r="F74" s="31" t="s">
        <v>352</v>
      </c>
    </row>
    <row r="75" spans="1:6" ht="85" x14ac:dyDescent="0.2">
      <c r="A75" s="35" t="s">
        <v>320</v>
      </c>
      <c r="B75" s="31" t="s">
        <v>321</v>
      </c>
      <c r="C75" s="35">
        <v>7.9000000000000001E-2</v>
      </c>
      <c r="D75" s="157">
        <v>0.52100000000000002</v>
      </c>
      <c r="E75" s="156">
        <v>10784</v>
      </c>
      <c r="F75" s="31" t="s">
        <v>353</v>
      </c>
    </row>
  </sheetData>
  <pageMargins left="0.511811024" right="0.511811024" top="0.78740157499999996" bottom="0.78740157499999996" header="0.31496062000000002" footer="0.31496062000000002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51C62E-3CB2-B342-BBB0-EA634EFF9FCD}">
  <dimension ref="A1:F116"/>
  <sheetViews>
    <sheetView showGridLines="0" workbookViewId="0">
      <selection activeCell="A3" sqref="A3:E8"/>
    </sheetView>
  </sheetViews>
  <sheetFormatPr baseColWidth="10" defaultRowHeight="16" x14ac:dyDescent="0.2"/>
  <cols>
    <col min="1" max="1" width="52.1640625" style="8" bestFit="1" customWidth="1"/>
    <col min="2" max="2" width="11.1640625" style="8" bestFit="1" customWidth="1"/>
    <col min="3" max="3" width="11.6640625" style="8" bestFit="1" customWidth="1"/>
    <col min="4" max="4" width="19.83203125" style="8" bestFit="1" customWidth="1"/>
    <col min="5" max="5" width="21" style="8" bestFit="1" customWidth="1"/>
    <col min="6" max="6" width="17.33203125" style="8" bestFit="1" customWidth="1"/>
  </cols>
  <sheetData>
    <row r="1" spans="1:6" s="124" customFormat="1" ht="17" thickBot="1" x14ac:dyDescent="0.25">
      <c r="A1" s="159" t="s">
        <v>189</v>
      </c>
      <c r="B1" s="126"/>
      <c r="C1" s="126"/>
      <c r="D1" s="126"/>
      <c r="E1" s="126"/>
      <c r="F1" s="126"/>
    </row>
    <row r="2" spans="1:6" ht="18" thickBot="1" x14ac:dyDescent="0.25">
      <c r="A2" s="57" t="s">
        <v>140</v>
      </c>
      <c r="B2" s="58" t="s">
        <v>141</v>
      </c>
      <c r="C2" s="58" t="s">
        <v>95</v>
      </c>
      <c r="D2" s="59" t="s">
        <v>130</v>
      </c>
      <c r="E2" s="59" t="s">
        <v>131</v>
      </c>
      <c r="F2" s="60" t="s">
        <v>96</v>
      </c>
    </row>
    <row r="3" spans="1:6" x14ac:dyDescent="0.2">
      <c r="A3" s="193" t="s">
        <v>169</v>
      </c>
      <c r="B3" s="43" t="s">
        <v>139</v>
      </c>
      <c r="C3" s="129">
        <v>3674021.89</v>
      </c>
      <c r="D3" s="129">
        <v>537972.08299999998</v>
      </c>
      <c r="E3" s="129">
        <v>1348411.65</v>
      </c>
      <c r="F3" s="137">
        <v>3729.297</v>
      </c>
    </row>
    <row r="4" spans="1:6" x14ac:dyDescent="0.2">
      <c r="A4" s="193"/>
      <c r="B4" s="43" t="s">
        <v>137</v>
      </c>
      <c r="C4" s="129">
        <v>1974083.73</v>
      </c>
      <c r="D4" s="129">
        <v>212990.88200000001</v>
      </c>
      <c r="E4" s="129">
        <v>796233.5</v>
      </c>
      <c r="F4" s="137">
        <v>12453.293</v>
      </c>
    </row>
    <row r="5" spans="1:6" ht="17" thickBot="1" x14ac:dyDescent="0.25">
      <c r="A5" s="193"/>
      <c r="B5" s="43" t="s">
        <v>143</v>
      </c>
      <c r="C5" s="129">
        <v>33588.78</v>
      </c>
      <c r="D5" s="129">
        <v>677.20600000000002</v>
      </c>
      <c r="E5" s="129">
        <v>24211.56</v>
      </c>
      <c r="F5" s="137">
        <v>0</v>
      </c>
    </row>
    <row r="6" spans="1:6" x14ac:dyDescent="0.2">
      <c r="A6" s="189" t="s">
        <v>170</v>
      </c>
      <c r="B6" s="125" t="s">
        <v>139</v>
      </c>
      <c r="C6" s="131">
        <v>1381569.6410000001</v>
      </c>
      <c r="D6" s="131">
        <v>171296.58100000001</v>
      </c>
      <c r="E6" s="131">
        <v>513929.84700000001</v>
      </c>
      <c r="F6" s="132">
        <v>4501.7359999999999</v>
      </c>
    </row>
    <row r="7" spans="1:6" x14ac:dyDescent="0.2">
      <c r="A7" s="190"/>
      <c r="B7" s="126" t="s">
        <v>137</v>
      </c>
      <c r="C7" s="133">
        <v>4295161.9610000001</v>
      </c>
      <c r="D7" s="133">
        <v>579666.38500000001</v>
      </c>
      <c r="E7" s="133">
        <v>1653307.415</v>
      </c>
      <c r="F7" s="130">
        <v>11680.853999999999</v>
      </c>
    </row>
    <row r="8" spans="1:6" ht="17" thickBot="1" x14ac:dyDescent="0.25">
      <c r="A8" s="191"/>
      <c r="B8" s="127" t="s">
        <v>143</v>
      </c>
      <c r="C8" s="134">
        <v>4962.799</v>
      </c>
      <c r="D8" s="134">
        <v>677.20600000000002</v>
      </c>
      <c r="E8" s="134">
        <v>1619.4469999999999</v>
      </c>
      <c r="F8" s="135">
        <v>0</v>
      </c>
    </row>
    <row r="9" spans="1:6" x14ac:dyDescent="0.2">
      <c r="A9" s="192" t="s">
        <v>171</v>
      </c>
      <c r="B9" s="46" t="s">
        <v>139</v>
      </c>
      <c r="C9" s="136">
        <v>2162910.338</v>
      </c>
      <c r="D9" s="136">
        <v>204943.73499999999</v>
      </c>
      <c r="E9" s="136">
        <v>868693.81499999994</v>
      </c>
      <c r="F9" s="138">
        <v>7521.576</v>
      </c>
    </row>
    <row r="10" spans="1:6" x14ac:dyDescent="0.2">
      <c r="A10" s="193"/>
      <c r="B10" s="43" t="s">
        <v>137</v>
      </c>
      <c r="C10" s="129">
        <v>3513821.264</v>
      </c>
      <c r="D10" s="129">
        <v>546019.23100000003</v>
      </c>
      <c r="E10" s="129">
        <v>1298543.4469999999</v>
      </c>
      <c r="F10" s="137">
        <v>8661.0149999999994</v>
      </c>
    </row>
    <row r="11" spans="1:6" ht="17" thickBot="1" x14ac:dyDescent="0.25">
      <c r="A11" s="193"/>
      <c r="B11" s="43" t="s">
        <v>143</v>
      </c>
      <c r="C11" s="129">
        <v>4962.799</v>
      </c>
      <c r="D11" s="129">
        <v>677.20600000000002</v>
      </c>
      <c r="E11" s="129">
        <v>1619.4469999999999</v>
      </c>
      <c r="F11" s="137">
        <v>0</v>
      </c>
    </row>
    <row r="12" spans="1:6" x14ac:dyDescent="0.2">
      <c r="A12" s="189" t="s">
        <v>172</v>
      </c>
      <c r="B12" s="125" t="s">
        <v>139</v>
      </c>
      <c r="C12" s="131">
        <v>1338292.1869999999</v>
      </c>
      <c r="D12" s="131">
        <v>231731.679</v>
      </c>
      <c r="E12" s="131">
        <v>464225.58799999999</v>
      </c>
      <c r="F12" s="132">
        <v>616.36279999999999</v>
      </c>
    </row>
    <row r="13" spans="1:6" x14ac:dyDescent="0.2">
      <c r="A13" s="190"/>
      <c r="B13" s="126" t="s">
        <v>137</v>
      </c>
      <c r="C13" s="133">
        <v>4334349.07</v>
      </c>
      <c r="D13" s="133">
        <v>519231.28700000001</v>
      </c>
      <c r="E13" s="133">
        <v>1702346.8</v>
      </c>
      <c r="F13" s="130">
        <v>15566.227699999999</v>
      </c>
    </row>
    <row r="14" spans="1:6" ht="17" thickBot="1" x14ac:dyDescent="0.25">
      <c r="A14" s="191"/>
      <c r="B14" s="127" t="s">
        <v>143</v>
      </c>
      <c r="C14" s="134">
        <v>9053.143</v>
      </c>
      <c r="D14" s="134">
        <v>677.20600000000002</v>
      </c>
      <c r="E14" s="134">
        <v>2284.3220000000001</v>
      </c>
      <c r="F14" s="135">
        <v>0</v>
      </c>
    </row>
    <row r="15" spans="1:6" x14ac:dyDescent="0.2">
      <c r="A15" s="192" t="s">
        <v>173</v>
      </c>
      <c r="B15" s="46" t="s">
        <v>139</v>
      </c>
      <c r="C15" s="136">
        <v>1049747.46</v>
      </c>
      <c r="D15" s="136">
        <v>126577.148</v>
      </c>
      <c r="E15" s="136">
        <v>380848.36499999999</v>
      </c>
      <c r="F15" s="138">
        <v>191.02780000000001</v>
      </c>
    </row>
    <row r="16" spans="1:6" x14ac:dyDescent="0.2">
      <c r="A16" s="193"/>
      <c r="B16" s="43" t="s">
        <v>137</v>
      </c>
      <c r="C16" s="129">
        <v>4612030.18</v>
      </c>
      <c r="D16" s="129">
        <v>624385.81799999997</v>
      </c>
      <c r="E16" s="129">
        <v>1785615.379</v>
      </c>
      <c r="F16" s="137">
        <v>15991.562599999999</v>
      </c>
    </row>
    <row r="17" spans="1:6" ht="17" thickBot="1" x14ac:dyDescent="0.25">
      <c r="A17" s="193"/>
      <c r="B17" s="43" t="s">
        <v>143</v>
      </c>
      <c r="C17" s="129">
        <v>19916.759999999998</v>
      </c>
      <c r="D17" s="129">
        <v>677.20600000000002</v>
      </c>
      <c r="E17" s="129">
        <v>2392.9659999999999</v>
      </c>
      <c r="F17" s="137">
        <v>0</v>
      </c>
    </row>
    <row r="18" spans="1:6" x14ac:dyDescent="0.2">
      <c r="A18" s="189" t="s">
        <v>174</v>
      </c>
      <c r="B18" s="125" t="s">
        <v>139</v>
      </c>
      <c r="C18" s="131">
        <v>2901498.0159999998</v>
      </c>
      <c r="D18" s="131">
        <v>357289.44300000003</v>
      </c>
      <c r="E18" s="131">
        <v>1087620.281</v>
      </c>
      <c r="F18" s="132">
        <v>15108.188</v>
      </c>
    </row>
    <row r="19" spans="1:6" x14ac:dyDescent="0.2">
      <c r="A19" s="190"/>
      <c r="B19" s="126" t="s">
        <v>137</v>
      </c>
      <c r="C19" s="133">
        <v>2777788.3530000001</v>
      </c>
      <c r="D19" s="133">
        <v>395400.10100000002</v>
      </c>
      <c r="E19" s="133">
        <v>1080445.1710000001</v>
      </c>
      <c r="F19" s="130">
        <v>1074.402</v>
      </c>
    </row>
    <row r="20" spans="1:6" ht="17" thickBot="1" x14ac:dyDescent="0.25">
      <c r="A20" s="191"/>
      <c r="B20" s="127" t="s">
        <v>143</v>
      </c>
      <c r="C20" s="134">
        <v>4134.6090000000004</v>
      </c>
      <c r="D20" s="134">
        <v>677.20600000000002</v>
      </c>
      <c r="E20" s="134">
        <v>791.25800000000004</v>
      </c>
      <c r="F20" s="135">
        <v>0</v>
      </c>
    </row>
    <row r="21" spans="1:6" x14ac:dyDescent="0.2">
      <c r="A21" s="192" t="s">
        <v>175</v>
      </c>
      <c r="B21" s="46" t="s">
        <v>139</v>
      </c>
      <c r="C21" s="136">
        <v>924547.01</v>
      </c>
      <c r="D21" s="136">
        <v>211668.04800000001</v>
      </c>
      <c r="E21" s="136">
        <v>323994.08899999998</v>
      </c>
      <c r="F21" s="138">
        <v>2136.4650000000001</v>
      </c>
    </row>
    <row r="22" spans="1:6" x14ac:dyDescent="0.2">
      <c r="A22" s="193"/>
      <c r="B22" s="43" t="s">
        <v>137</v>
      </c>
      <c r="C22" s="129">
        <v>4727935.93</v>
      </c>
      <c r="D22" s="129">
        <v>538742.57400000002</v>
      </c>
      <c r="E22" s="129">
        <v>1834898.3589999999</v>
      </c>
      <c r="F22" s="137">
        <v>14046.125</v>
      </c>
    </row>
    <row r="23" spans="1:6" ht="17" thickBot="1" x14ac:dyDescent="0.25">
      <c r="A23" s="193"/>
      <c r="B23" s="43" t="s">
        <v>143</v>
      </c>
      <c r="C23" s="129">
        <v>27804.75</v>
      </c>
      <c r="D23" s="129">
        <v>1229.549</v>
      </c>
      <c r="E23" s="129">
        <v>8557.5509999999995</v>
      </c>
      <c r="F23" s="137">
        <v>0</v>
      </c>
    </row>
    <row r="24" spans="1:6" x14ac:dyDescent="0.2">
      <c r="A24" s="189" t="s">
        <v>176</v>
      </c>
      <c r="B24" s="125" t="s">
        <v>139</v>
      </c>
      <c r="C24" s="131">
        <v>2182612.7400000002</v>
      </c>
      <c r="D24" s="131">
        <v>202302.99</v>
      </c>
      <c r="E24" s="131">
        <v>870760.14099999995</v>
      </c>
      <c r="F24" s="132">
        <v>7951.5569999999998</v>
      </c>
    </row>
    <row r="25" spans="1:6" x14ac:dyDescent="0.2">
      <c r="A25" s="190"/>
      <c r="B25" s="126" t="s">
        <v>137</v>
      </c>
      <c r="C25" s="133">
        <v>3463663.69</v>
      </c>
      <c r="D25" s="133">
        <v>540331.24</v>
      </c>
      <c r="E25" s="133">
        <v>1293080.6950000001</v>
      </c>
      <c r="F25" s="130">
        <v>3729.297</v>
      </c>
    </row>
    <row r="26" spans="1:6" ht="17" thickBot="1" x14ac:dyDescent="0.25">
      <c r="A26" s="191"/>
      <c r="B26" s="127" t="s">
        <v>143</v>
      </c>
      <c r="C26" s="134">
        <v>37144.550000000003</v>
      </c>
      <c r="D26" s="134">
        <v>10732.52</v>
      </c>
      <c r="E26" s="134">
        <v>5015.8729999999996</v>
      </c>
      <c r="F26" s="135">
        <v>4501.7359999999999</v>
      </c>
    </row>
    <row r="27" spans="1:6" x14ac:dyDescent="0.2">
      <c r="A27" s="192" t="s">
        <v>177</v>
      </c>
      <c r="B27" s="46" t="s">
        <v>139</v>
      </c>
      <c r="C27" s="136">
        <v>2390644.6</v>
      </c>
      <c r="D27" s="136">
        <v>213520.54500000001</v>
      </c>
      <c r="E27" s="136">
        <v>904962.59</v>
      </c>
      <c r="F27" s="138">
        <v>14856.77</v>
      </c>
    </row>
    <row r="28" spans="1:6" x14ac:dyDescent="0.2">
      <c r="A28" s="193"/>
      <c r="B28" s="43" t="s">
        <v>137</v>
      </c>
      <c r="C28" s="129">
        <v>3178986.3</v>
      </c>
      <c r="D28" s="129">
        <v>533577.37199999997</v>
      </c>
      <c r="E28" s="129">
        <v>1210726.19</v>
      </c>
      <c r="F28" s="137">
        <v>1325.8209999999999</v>
      </c>
    </row>
    <row r="29" spans="1:6" ht="17" thickBot="1" x14ac:dyDescent="0.25">
      <c r="A29" s="193"/>
      <c r="B29" s="43" t="s">
        <v>143</v>
      </c>
      <c r="C29" s="129">
        <v>113790.2</v>
      </c>
      <c r="D29" s="129">
        <v>6268.8320000000003</v>
      </c>
      <c r="E29" s="129">
        <v>53167.93</v>
      </c>
      <c r="F29" s="137">
        <v>0</v>
      </c>
    </row>
    <row r="30" spans="1:6" x14ac:dyDescent="0.2">
      <c r="A30" s="189" t="s">
        <v>178</v>
      </c>
      <c r="B30" s="125" t="s">
        <v>139</v>
      </c>
      <c r="C30" s="131">
        <v>925683.34299999999</v>
      </c>
      <c r="D30" s="131">
        <v>99964.627999999997</v>
      </c>
      <c r="E30" s="131">
        <v>293535.185</v>
      </c>
      <c r="F30" s="132">
        <v>0</v>
      </c>
    </row>
    <row r="31" spans="1:6" x14ac:dyDescent="0.2">
      <c r="A31" s="190"/>
      <c r="B31" s="126" t="s">
        <v>137</v>
      </c>
      <c r="C31" s="133">
        <v>4749634.0389999999</v>
      </c>
      <c r="D31" s="133">
        <v>650998.33700000006</v>
      </c>
      <c r="E31" s="133">
        <v>1872287.858</v>
      </c>
      <c r="F31" s="130">
        <v>16182.59</v>
      </c>
    </row>
    <row r="32" spans="1:6" ht="17" thickBot="1" x14ac:dyDescent="0.25">
      <c r="A32" s="191"/>
      <c r="B32" s="127" t="s">
        <v>143</v>
      </c>
      <c r="C32" s="134">
        <v>6377.018</v>
      </c>
      <c r="D32" s="134">
        <v>677.20600000000002</v>
      </c>
      <c r="E32" s="134">
        <v>3033.6669999999999</v>
      </c>
      <c r="F32" s="135">
        <v>0</v>
      </c>
    </row>
    <row r="33" spans="1:6" x14ac:dyDescent="0.2">
      <c r="A33" s="192" t="s">
        <v>179</v>
      </c>
      <c r="B33" s="46" t="s">
        <v>139</v>
      </c>
      <c r="C33" s="136">
        <v>1146032.6100000001</v>
      </c>
      <c r="D33" s="136">
        <v>141594.20000000001</v>
      </c>
      <c r="E33" s="136">
        <v>511484.61599999998</v>
      </c>
      <c r="F33" s="138">
        <v>1401.8040000000001</v>
      </c>
    </row>
    <row r="34" spans="1:6" x14ac:dyDescent="0.2">
      <c r="A34" s="193"/>
      <c r="B34" s="43" t="s">
        <v>137</v>
      </c>
      <c r="C34" s="129">
        <v>4511774.21</v>
      </c>
      <c r="D34" s="129">
        <v>595784.56000000006</v>
      </c>
      <c r="E34" s="129">
        <v>1654766.1910000001</v>
      </c>
      <c r="F34" s="137">
        <v>14780.786</v>
      </c>
    </row>
    <row r="35" spans="1:6" ht="17" thickBot="1" x14ac:dyDescent="0.25">
      <c r="A35" s="193"/>
      <c r="B35" s="43" t="s">
        <v>143</v>
      </c>
      <c r="C35" s="129">
        <v>19533.46</v>
      </c>
      <c r="D35" s="129">
        <v>14261.41</v>
      </c>
      <c r="E35" s="129">
        <v>2605.902</v>
      </c>
      <c r="F35" s="137">
        <v>0</v>
      </c>
    </row>
    <row r="36" spans="1:6" x14ac:dyDescent="0.2">
      <c r="A36" s="189" t="s">
        <v>155</v>
      </c>
      <c r="B36" s="125" t="s">
        <v>139</v>
      </c>
      <c r="C36" s="131">
        <v>52650.69</v>
      </c>
      <c r="D36" s="131">
        <v>10090.86</v>
      </c>
      <c r="E36" s="131">
        <v>30334.720000000001</v>
      </c>
      <c r="F36" s="132">
        <v>0</v>
      </c>
    </row>
    <row r="37" spans="1:6" ht="17" thickBot="1" x14ac:dyDescent="0.25">
      <c r="A37" s="191"/>
      <c r="B37" s="127" t="s">
        <v>137</v>
      </c>
      <c r="C37" s="134">
        <v>5612546.9100000001</v>
      </c>
      <c r="D37" s="134">
        <v>730859.14</v>
      </c>
      <c r="E37" s="134">
        <v>2135916.09</v>
      </c>
      <c r="F37" s="135">
        <v>16182.59</v>
      </c>
    </row>
    <row r="38" spans="1:6" s="124" customFormat="1" x14ac:dyDescent="0.2">
      <c r="A38" s="41"/>
      <c r="B38" s="126"/>
      <c r="C38" s="40"/>
      <c r="D38" s="40"/>
      <c r="E38" s="40"/>
      <c r="F38" s="40"/>
    </row>
    <row r="39" spans="1:6" s="124" customFormat="1" ht="17" thickBot="1" x14ac:dyDescent="0.25">
      <c r="A39" s="159" t="s">
        <v>167</v>
      </c>
      <c r="B39" s="126"/>
      <c r="C39" s="126"/>
      <c r="D39" s="126"/>
      <c r="E39" s="126"/>
      <c r="F39" s="126"/>
    </row>
    <row r="40" spans="1:6" ht="18" thickBot="1" x14ac:dyDescent="0.25">
      <c r="A40" s="57" t="s">
        <v>140</v>
      </c>
      <c r="B40" s="58" t="s">
        <v>141</v>
      </c>
      <c r="C40" s="58" t="s">
        <v>95</v>
      </c>
      <c r="D40" s="59" t="s">
        <v>130</v>
      </c>
      <c r="E40" s="59" t="s">
        <v>131</v>
      </c>
      <c r="F40" s="60" t="s">
        <v>96</v>
      </c>
    </row>
    <row r="41" spans="1:6" x14ac:dyDescent="0.2">
      <c r="A41" s="193" t="s">
        <v>142</v>
      </c>
      <c r="B41" s="43" t="s">
        <v>139</v>
      </c>
      <c r="C41" s="129">
        <v>1508834.79</v>
      </c>
      <c r="D41" s="129">
        <v>521115.16499999998</v>
      </c>
      <c r="E41" s="129">
        <v>530033.39</v>
      </c>
      <c r="F41" s="137">
        <v>164272.4</v>
      </c>
    </row>
    <row r="42" spans="1:6" x14ac:dyDescent="0.2">
      <c r="A42" s="193"/>
      <c r="B42" s="43" t="s">
        <v>137</v>
      </c>
      <c r="C42" s="129">
        <v>4132591.29</v>
      </c>
      <c r="D42" s="129">
        <v>1497203.554</v>
      </c>
      <c r="E42" s="129">
        <v>1378732.66</v>
      </c>
      <c r="F42" s="137">
        <v>351931.34</v>
      </c>
    </row>
    <row r="43" spans="1:6" ht="17" thickBot="1" x14ac:dyDescent="0.25">
      <c r="A43" s="193"/>
      <c r="B43" s="43" t="s">
        <v>143</v>
      </c>
      <c r="C43" s="129">
        <v>69073.649999999994</v>
      </c>
      <c r="D43" s="129">
        <v>1774.0840000000001</v>
      </c>
      <c r="E43" s="129">
        <v>31679.71</v>
      </c>
      <c r="F43" s="137">
        <v>11222.24</v>
      </c>
    </row>
    <row r="44" spans="1:6" x14ac:dyDescent="0.2">
      <c r="A44" s="189" t="s">
        <v>144</v>
      </c>
      <c r="B44" s="125" t="s">
        <v>139</v>
      </c>
      <c r="C44" s="131">
        <v>1597589.02</v>
      </c>
      <c r="D44" s="131">
        <v>611355.049</v>
      </c>
      <c r="E44" s="131">
        <v>586798.89</v>
      </c>
      <c r="F44" s="132">
        <v>113495.8</v>
      </c>
    </row>
    <row r="45" spans="1:6" x14ac:dyDescent="0.2">
      <c r="A45" s="190"/>
      <c r="B45" s="126" t="s">
        <v>137</v>
      </c>
      <c r="C45" s="133">
        <v>4059549.78</v>
      </c>
      <c r="D45" s="133">
        <v>1393032.0870000001</v>
      </c>
      <c r="E45" s="133">
        <v>1320796.18</v>
      </c>
      <c r="F45" s="130">
        <v>413930.2</v>
      </c>
    </row>
    <row r="46" spans="1:6" ht="17" thickBot="1" x14ac:dyDescent="0.25">
      <c r="A46" s="191"/>
      <c r="B46" s="127" t="s">
        <v>143</v>
      </c>
      <c r="C46" s="134">
        <v>47403.42</v>
      </c>
      <c r="D46" s="134">
        <v>9748.1579999999994</v>
      </c>
      <c r="E46" s="134">
        <v>32850.69</v>
      </c>
      <c r="F46" s="135">
        <v>0</v>
      </c>
    </row>
    <row r="47" spans="1:6" x14ac:dyDescent="0.2">
      <c r="A47" s="193" t="s">
        <v>145</v>
      </c>
      <c r="B47" s="43" t="s">
        <v>139</v>
      </c>
      <c r="C47" s="129">
        <v>3424417.31</v>
      </c>
      <c r="D47" s="129">
        <v>1414676.2830000001</v>
      </c>
      <c r="E47" s="129">
        <v>1104760.24</v>
      </c>
      <c r="F47" s="137">
        <v>399417.5</v>
      </c>
    </row>
    <row r="48" spans="1:6" x14ac:dyDescent="0.2">
      <c r="A48" s="193"/>
      <c r="B48" s="43" t="s">
        <v>137</v>
      </c>
      <c r="C48" s="129">
        <v>2264608.63</v>
      </c>
      <c r="D48" s="129">
        <v>596985.78399999999</v>
      </c>
      <c r="E48" s="129">
        <v>823169.83</v>
      </c>
      <c r="F48" s="137">
        <v>128008.5</v>
      </c>
    </row>
    <row r="49" spans="1:6" ht="17" thickBot="1" x14ac:dyDescent="0.25">
      <c r="A49" s="193"/>
      <c r="B49" s="43" t="s">
        <v>143</v>
      </c>
      <c r="C49" s="129">
        <v>15667.53</v>
      </c>
      <c r="D49" s="129">
        <v>2624.4810000000002</v>
      </c>
      <c r="E49" s="129">
        <v>12515.68</v>
      </c>
      <c r="F49" s="137">
        <v>0</v>
      </c>
    </row>
    <row r="50" spans="1:6" x14ac:dyDescent="0.2">
      <c r="A50" s="189" t="s">
        <v>146</v>
      </c>
      <c r="B50" s="125" t="s">
        <v>139</v>
      </c>
      <c r="C50" s="131">
        <v>3188971.77</v>
      </c>
      <c r="D50" s="131">
        <v>1264277.6610000001</v>
      </c>
      <c r="E50" s="131">
        <v>1079738.4099999999</v>
      </c>
      <c r="F50" s="132">
        <v>357343.2</v>
      </c>
    </row>
    <row r="51" spans="1:6" x14ac:dyDescent="0.2">
      <c r="A51" s="190"/>
      <c r="B51" s="126" t="s">
        <v>137</v>
      </c>
      <c r="C51" s="133">
        <v>2498751.42</v>
      </c>
      <c r="D51" s="133">
        <v>745682.85699999996</v>
      </c>
      <c r="E51" s="133">
        <v>848590.45</v>
      </c>
      <c r="F51" s="130">
        <v>170082.7</v>
      </c>
    </row>
    <row r="52" spans="1:6" ht="17" thickBot="1" x14ac:dyDescent="0.25">
      <c r="A52" s="191"/>
      <c r="B52" s="127" t="s">
        <v>143</v>
      </c>
      <c r="C52" s="134">
        <v>17620.11</v>
      </c>
      <c r="D52" s="134">
        <v>4326.0290000000005</v>
      </c>
      <c r="E52" s="134">
        <v>12766.71</v>
      </c>
      <c r="F52" s="135">
        <v>0</v>
      </c>
    </row>
    <row r="53" spans="1:6" x14ac:dyDescent="0.2">
      <c r="A53" s="193" t="s">
        <v>147</v>
      </c>
      <c r="B53" s="43" t="s">
        <v>139</v>
      </c>
      <c r="C53" s="129">
        <v>1228278.23</v>
      </c>
      <c r="D53" s="129">
        <v>389674.473</v>
      </c>
      <c r="E53" s="129">
        <v>436822.52</v>
      </c>
      <c r="F53" s="137">
        <v>121632.3</v>
      </c>
    </row>
    <row r="54" spans="1:6" x14ac:dyDescent="0.2">
      <c r="A54" s="193"/>
      <c r="B54" s="43" t="s">
        <v>137</v>
      </c>
      <c r="C54" s="129">
        <v>4461598.12</v>
      </c>
      <c r="D54" s="129">
        <v>1622837.9909999999</v>
      </c>
      <c r="E54" s="129">
        <v>1491107.55</v>
      </c>
      <c r="F54" s="137">
        <v>405793.7</v>
      </c>
    </row>
    <row r="55" spans="1:6" ht="17" thickBot="1" x14ac:dyDescent="0.25">
      <c r="A55" s="193"/>
      <c r="B55" s="43" t="s">
        <v>143</v>
      </c>
      <c r="C55" s="129">
        <v>14817.13</v>
      </c>
      <c r="D55" s="129">
        <v>1774.0840000000001</v>
      </c>
      <c r="E55" s="129">
        <v>12515.68</v>
      </c>
      <c r="F55" s="137">
        <v>0</v>
      </c>
    </row>
    <row r="56" spans="1:6" x14ac:dyDescent="0.2">
      <c r="A56" s="189" t="s">
        <v>148</v>
      </c>
      <c r="B56" s="125" t="s">
        <v>139</v>
      </c>
      <c r="C56" s="131">
        <v>1217698.82</v>
      </c>
      <c r="D56" s="131">
        <v>352869.19</v>
      </c>
      <c r="E56" s="131">
        <v>392740.82</v>
      </c>
      <c r="F56" s="132">
        <v>120292.82</v>
      </c>
    </row>
    <row r="57" spans="1:6" x14ac:dyDescent="0.2">
      <c r="A57" s="190"/>
      <c r="B57" s="126" t="s">
        <v>137</v>
      </c>
      <c r="C57" s="133">
        <v>4459823.4000000004</v>
      </c>
      <c r="D57" s="133">
        <v>1657599.477</v>
      </c>
      <c r="E57" s="133">
        <v>1535189.25</v>
      </c>
      <c r="F57" s="130">
        <v>396822.83</v>
      </c>
    </row>
    <row r="58" spans="1:6" ht="17" thickBot="1" x14ac:dyDescent="0.25">
      <c r="A58" s="191"/>
      <c r="B58" s="127" t="s">
        <v>143</v>
      </c>
      <c r="C58" s="134">
        <v>27171.25</v>
      </c>
      <c r="D58" s="134">
        <v>3817.8809999999999</v>
      </c>
      <c r="E58" s="134">
        <v>12515.68</v>
      </c>
      <c r="F58" s="135">
        <v>10310.32</v>
      </c>
    </row>
    <row r="59" spans="1:6" x14ac:dyDescent="0.2">
      <c r="A59" s="193" t="s">
        <v>149</v>
      </c>
      <c r="B59" s="43" t="s">
        <v>139</v>
      </c>
      <c r="C59" s="129">
        <v>695868.47</v>
      </c>
      <c r="D59" s="129">
        <v>240066.57399999999</v>
      </c>
      <c r="E59" s="129">
        <v>188365.41</v>
      </c>
      <c r="F59" s="137">
        <v>29619.119999999999</v>
      </c>
    </row>
    <row r="60" spans="1:6" x14ac:dyDescent="0.2">
      <c r="A60" s="193"/>
      <c r="B60" s="43" t="s">
        <v>137</v>
      </c>
      <c r="C60" s="129">
        <v>4988974.2699999996</v>
      </c>
      <c r="D60" s="129">
        <v>1766884.92</v>
      </c>
      <c r="E60" s="129">
        <v>1739564.67</v>
      </c>
      <c r="F60" s="137">
        <v>497806.86</v>
      </c>
    </row>
    <row r="61" spans="1:6" ht="17" thickBot="1" x14ac:dyDescent="0.25">
      <c r="A61" s="193"/>
      <c r="B61" s="43" t="s">
        <v>143</v>
      </c>
      <c r="C61" s="129">
        <v>19850.73</v>
      </c>
      <c r="D61" s="129">
        <v>7335.0540000000001</v>
      </c>
      <c r="E61" s="129">
        <v>12515.68</v>
      </c>
      <c r="F61" s="137">
        <v>0</v>
      </c>
    </row>
    <row r="62" spans="1:6" x14ac:dyDescent="0.2">
      <c r="A62" s="189" t="s">
        <v>150</v>
      </c>
      <c r="B62" s="125" t="s">
        <v>139</v>
      </c>
      <c r="C62" s="131">
        <v>695722.05</v>
      </c>
      <c r="D62" s="131">
        <v>209143.29</v>
      </c>
      <c r="E62" s="131">
        <v>275001.53999999998</v>
      </c>
      <c r="F62" s="132">
        <v>46683.62</v>
      </c>
    </row>
    <row r="63" spans="1:6" x14ac:dyDescent="0.2">
      <c r="A63" s="190"/>
      <c r="B63" s="126" t="s">
        <v>137</v>
      </c>
      <c r="C63" s="133">
        <v>4994681.66</v>
      </c>
      <c r="D63" s="133">
        <v>1803369.1740000001</v>
      </c>
      <c r="E63" s="133">
        <v>1652928.53</v>
      </c>
      <c r="F63" s="130">
        <v>480742.36</v>
      </c>
    </row>
    <row r="64" spans="1:6" ht="17" thickBot="1" x14ac:dyDescent="0.25">
      <c r="A64" s="191"/>
      <c r="B64" s="127" t="s">
        <v>143</v>
      </c>
      <c r="C64" s="134">
        <v>14289.76</v>
      </c>
      <c r="D64" s="134">
        <v>1774.0840000000001</v>
      </c>
      <c r="E64" s="134">
        <v>12515.68</v>
      </c>
      <c r="F64" s="135">
        <v>0</v>
      </c>
    </row>
    <row r="65" spans="1:6" x14ac:dyDescent="0.2">
      <c r="A65" s="193" t="s">
        <v>151</v>
      </c>
      <c r="B65" s="43" t="s">
        <v>139</v>
      </c>
      <c r="C65" s="129">
        <v>283402.90999999997</v>
      </c>
      <c r="D65" s="129">
        <v>68266.710999999996</v>
      </c>
      <c r="E65" s="129">
        <v>133076.70000000001</v>
      </c>
      <c r="F65" s="137">
        <v>12261.15</v>
      </c>
    </row>
    <row r="66" spans="1:6" x14ac:dyDescent="0.2">
      <c r="A66" s="193"/>
      <c r="B66" s="43" t="s">
        <v>137</v>
      </c>
      <c r="C66" s="129">
        <v>5407000.7999999998</v>
      </c>
      <c r="D66" s="129">
        <v>1944245.753</v>
      </c>
      <c r="E66" s="129">
        <v>1794853.38</v>
      </c>
      <c r="F66" s="137">
        <v>515164.83</v>
      </c>
    </row>
    <row r="67" spans="1:6" ht="17" thickBot="1" x14ac:dyDescent="0.25">
      <c r="A67" s="193"/>
      <c r="B67" s="43" t="s">
        <v>143</v>
      </c>
      <c r="C67" s="129">
        <v>14289.76</v>
      </c>
      <c r="D67" s="129">
        <v>1774.0840000000001</v>
      </c>
      <c r="E67" s="129">
        <v>12515.68</v>
      </c>
      <c r="F67" s="137">
        <v>0</v>
      </c>
    </row>
    <row r="68" spans="1:6" x14ac:dyDescent="0.2">
      <c r="A68" s="189" t="s">
        <v>152</v>
      </c>
      <c r="B68" s="125" t="s">
        <v>139</v>
      </c>
      <c r="C68" s="131">
        <v>1552449.1</v>
      </c>
      <c r="D68" s="131">
        <v>576596.24199999997</v>
      </c>
      <c r="E68" s="131">
        <v>464550.37</v>
      </c>
      <c r="F68" s="132">
        <v>169594.6</v>
      </c>
    </row>
    <row r="69" spans="1:6" x14ac:dyDescent="0.2">
      <c r="A69" s="190"/>
      <c r="B69" s="126" t="s">
        <v>137</v>
      </c>
      <c r="C69" s="133">
        <v>4136846.66</v>
      </c>
      <c r="D69" s="133">
        <v>1435916.2220000001</v>
      </c>
      <c r="E69" s="133">
        <v>1462271.75</v>
      </c>
      <c r="F69" s="130">
        <v>357831.4</v>
      </c>
    </row>
    <row r="70" spans="1:6" ht="17" thickBot="1" x14ac:dyDescent="0.25">
      <c r="A70" s="191"/>
      <c r="B70" s="127" t="s">
        <v>143</v>
      </c>
      <c r="C70" s="134">
        <v>14289.76</v>
      </c>
      <c r="D70" s="134">
        <v>1774.0840000000001</v>
      </c>
      <c r="E70" s="134">
        <v>12515.68</v>
      </c>
      <c r="F70" s="135">
        <v>0</v>
      </c>
    </row>
    <row r="71" spans="1:6" x14ac:dyDescent="0.2">
      <c r="A71" s="193" t="s">
        <v>153</v>
      </c>
      <c r="B71" s="43" t="s">
        <v>139</v>
      </c>
      <c r="C71" s="129">
        <v>1012687.26</v>
      </c>
      <c r="D71" s="129">
        <v>462617.59700000001</v>
      </c>
      <c r="E71" s="129">
        <v>236822.59</v>
      </c>
      <c r="F71" s="137">
        <v>98242.43</v>
      </c>
    </row>
    <row r="72" spans="1:6" x14ac:dyDescent="0.2">
      <c r="A72" s="193"/>
      <c r="B72" s="43" t="s">
        <v>137</v>
      </c>
      <c r="C72" s="129">
        <v>4676180.7</v>
      </c>
      <c r="D72" s="129">
        <v>1549769.977</v>
      </c>
      <c r="E72" s="129">
        <v>1689696.62</v>
      </c>
      <c r="F72" s="137">
        <v>429183.55</v>
      </c>
    </row>
    <row r="73" spans="1:6" ht="17" thickBot="1" x14ac:dyDescent="0.25">
      <c r="A73" s="193"/>
      <c r="B73" s="43" t="s">
        <v>143</v>
      </c>
      <c r="C73" s="129">
        <v>14414.65</v>
      </c>
      <c r="D73" s="129">
        <v>1898.9749999999999</v>
      </c>
      <c r="E73" s="129">
        <v>12515.68</v>
      </c>
      <c r="F73" s="137">
        <v>0</v>
      </c>
    </row>
    <row r="74" spans="1:6" x14ac:dyDescent="0.2">
      <c r="A74" s="189" t="s">
        <v>154</v>
      </c>
      <c r="B74" s="125" t="s">
        <v>139</v>
      </c>
      <c r="C74" s="131">
        <v>416837.09</v>
      </c>
      <c r="D74" s="131">
        <v>173086.22</v>
      </c>
      <c r="E74" s="131">
        <v>160306.84</v>
      </c>
      <c r="F74" s="132">
        <v>21020.12</v>
      </c>
    </row>
    <row r="75" spans="1:6" x14ac:dyDescent="0.2">
      <c r="A75" s="190"/>
      <c r="B75" s="126" t="s">
        <v>137</v>
      </c>
      <c r="C75" s="133">
        <v>5258985.66</v>
      </c>
      <c r="D75" s="133">
        <v>1829122.49</v>
      </c>
      <c r="E75" s="133">
        <v>1767623.23</v>
      </c>
      <c r="F75" s="130">
        <v>506405.86</v>
      </c>
    </row>
    <row r="76" spans="1:6" ht="17" thickBot="1" x14ac:dyDescent="0.25">
      <c r="A76" s="191"/>
      <c r="B76" s="127" t="s">
        <v>143</v>
      </c>
      <c r="C76" s="134">
        <v>24773.97</v>
      </c>
      <c r="D76" s="134">
        <v>7981.09</v>
      </c>
      <c r="E76" s="134">
        <v>12515.68</v>
      </c>
      <c r="F76" s="135">
        <v>0</v>
      </c>
    </row>
    <row r="77" spans="1:6" x14ac:dyDescent="0.2">
      <c r="A77" s="192" t="s">
        <v>155</v>
      </c>
      <c r="B77" s="46" t="s">
        <v>139</v>
      </c>
      <c r="C77" s="136">
        <v>482857.7</v>
      </c>
      <c r="D77" s="136">
        <v>114255</v>
      </c>
      <c r="E77" s="136">
        <v>202385.5</v>
      </c>
      <c r="F77" s="138">
        <v>28916.27</v>
      </c>
    </row>
    <row r="78" spans="1:6" ht="17" thickBot="1" x14ac:dyDescent="0.25">
      <c r="A78" s="194"/>
      <c r="B78" s="50" t="s">
        <v>137</v>
      </c>
      <c r="C78" s="139">
        <v>5192965.0999999996</v>
      </c>
      <c r="D78" s="139">
        <v>1887954</v>
      </c>
      <c r="E78" s="139">
        <v>1725544.6</v>
      </c>
      <c r="F78" s="140">
        <v>498509.71</v>
      </c>
    </row>
    <row r="79" spans="1:6" s="124" customFormat="1" x14ac:dyDescent="0.2">
      <c r="A79" s="126"/>
      <c r="B79" s="126"/>
      <c r="C79" s="126"/>
      <c r="D79" s="126"/>
      <c r="E79" s="126"/>
      <c r="F79" s="126"/>
    </row>
    <row r="80" spans="1:6" s="124" customFormat="1" ht="17" thickBot="1" x14ac:dyDescent="0.25">
      <c r="A80" s="159" t="s">
        <v>207</v>
      </c>
      <c r="B80" s="126"/>
      <c r="C80" s="126"/>
      <c r="D80" s="126"/>
      <c r="E80" s="126"/>
      <c r="F80" s="126"/>
    </row>
    <row r="81" spans="1:6" ht="18" thickBot="1" x14ac:dyDescent="0.25">
      <c r="A81" s="57" t="s">
        <v>140</v>
      </c>
      <c r="B81" s="58" t="s">
        <v>141</v>
      </c>
      <c r="C81" s="58" t="s">
        <v>95</v>
      </c>
      <c r="D81" s="59" t="s">
        <v>130</v>
      </c>
      <c r="E81" s="59" t="s">
        <v>131</v>
      </c>
      <c r="F81" s="60" t="s">
        <v>96</v>
      </c>
    </row>
    <row r="82" spans="1:6" x14ac:dyDescent="0.2">
      <c r="A82" s="193" t="s">
        <v>156</v>
      </c>
      <c r="B82" s="43" t="s">
        <v>139</v>
      </c>
      <c r="C82" s="129">
        <v>1072007.5900000001</v>
      </c>
      <c r="D82" s="129">
        <v>391540.17099999997</v>
      </c>
      <c r="E82" s="129">
        <v>331994.93</v>
      </c>
      <c r="F82" s="137">
        <v>131954.20000000001</v>
      </c>
    </row>
    <row r="83" spans="1:6" x14ac:dyDescent="0.2">
      <c r="A83" s="193"/>
      <c r="B83" s="43" t="s">
        <v>137</v>
      </c>
      <c r="C83" s="129">
        <v>4588160.3099999996</v>
      </c>
      <c r="D83" s="129">
        <v>1619520.148</v>
      </c>
      <c r="E83" s="129">
        <v>1572820.33</v>
      </c>
      <c r="F83" s="137">
        <v>395471.8</v>
      </c>
    </row>
    <row r="84" spans="1:6" ht="17" thickBot="1" x14ac:dyDescent="0.25">
      <c r="A84" s="193"/>
      <c r="B84" s="43" t="s">
        <v>143</v>
      </c>
      <c r="C84" s="129">
        <v>50331.83</v>
      </c>
      <c r="D84" s="129">
        <v>9032.4840000000004</v>
      </c>
      <c r="E84" s="129">
        <v>35630.49</v>
      </c>
      <c r="F84" s="137">
        <v>0</v>
      </c>
    </row>
    <row r="85" spans="1:6" x14ac:dyDescent="0.2">
      <c r="A85" s="189" t="s">
        <v>157</v>
      </c>
      <c r="B85" s="125" t="s">
        <v>139</v>
      </c>
      <c r="C85" s="131">
        <v>962095.3</v>
      </c>
      <c r="D85" s="131">
        <v>282681.05</v>
      </c>
      <c r="E85" s="131">
        <v>332315</v>
      </c>
      <c r="F85" s="132">
        <v>70443.422999999995</v>
      </c>
    </row>
    <row r="86" spans="1:6" x14ac:dyDescent="0.2">
      <c r="A86" s="190"/>
      <c r="B86" s="126" t="s">
        <v>137</v>
      </c>
      <c r="C86" s="133">
        <v>4634467.3</v>
      </c>
      <c r="D86" s="133">
        <v>1705501.53</v>
      </c>
      <c r="E86" s="133">
        <v>1551020.16</v>
      </c>
      <c r="F86" s="130">
        <v>452374.09499999997</v>
      </c>
    </row>
    <row r="87" spans="1:6" ht="17" thickBot="1" x14ac:dyDescent="0.25">
      <c r="A87" s="191"/>
      <c r="B87" s="127" t="s">
        <v>143</v>
      </c>
      <c r="C87" s="134">
        <v>113937.1</v>
      </c>
      <c r="D87" s="134">
        <v>31910.22</v>
      </c>
      <c r="E87" s="134">
        <v>57110.59</v>
      </c>
      <c r="F87" s="135">
        <v>4608.4620000000004</v>
      </c>
    </row>
    <row r="88" spans="1:6" x14ac:dyDescent="0.2">
      <c r="A88" s="193" t="s">
        <v>158</v>
      </c>
      <c r="B88" s="43" t="s">
        <v>139</v>
      </c>
      <c r="C88" s="129">
        <v>242538.38</v>
      </c>
      <c r="D88" s="129">
        <v>115935.56299999999</v>
      </c>
      <c r="E88" s="129">
        <v>82174.59</v>
      </c>
      <c r="F88" s="137">
        <v>31971.599999999999</v>
      </c>
    </row>
    <row r="89" spans="1:6" x14ac:dyDescent="0.2">
      <c r="A89" s="193"/>
      <c r="B89" s="43" t="s">
        <v>137</v>
      </c>
      <c r="C89" s="129">
        <v>5443643.4699999997</v>
      </c>
      <c r="D89" s="129">
        <v>1902383.156</v>
      </c>
      <c r="E89" s="129">
        <v>1840064.93</v>
      </c>
      <c r="F89" s="137">
        <v>495454.4</v>
      </c>
    </row>
    <row r="90" spans="1:6" ht="17" thickBot="1" x14ac:dyDescent="0.25">
      <c r="A90" s="193"/>
      <c r="B90" s="43" t="s">
        <v>143</v>
      </c>
      <c r="C90" s="129">
        <v>24317.88</v>
      </c>
      <c r="D90" s="129">
        <v>1774.0840000000001</v>
      </c>
      <c r="E90" s="129">
        <v>18206.240000000002</v>
      </c>
      <c r="F90" s="137">
        <v>0</v>
      </c>
    </row>
    <row r="91" spans="1:6" x14ac:dyDescent="0.2">
      <c r="A91" s="189" t="s">
        <v>159</v>
      </c>
      <c r="B91" s="125" t="s">
        <v>139</v>
      </c>
      <c r="C91" s="131">
        <v>22148.52</v>
      </c>
      <c r="D91" s="131">
        <v>2197.098</v>
      </c>
      <c r="E91" s="131">
        <v>15003.68</v>
      </c>
      <c r="F91" s="132">
        <v>0</v>
      </c>
    </row>
    <row r="92" spans="1:6" x14ac:dyDescent="0.2">
      <c r="A92" s="190"/>
      <c r="B92" s="126" t="s">
        <v>137</v>
      </c>
      <c r="C92" s="133">
        <v>5659932.0999999996</v>
      </c>
      <c r="D92" s="133">
        <v>2016121.621</v>
      </c>
      <c r="E92" s="133">
        <v>1907235.8400000001</v>
      </c>
      <c r="F92" s="130">
        <v>523324.8</v>
      </c>
    </row>
    <row r="93" spans="1:6" ht="17" thickBot="1" x14ac:dyDescent="0.25">
      <c r="A93" s="191"/>
      <c r="B93" s="127" t="s">
        <v>143</v>
      </c>
      <c r="C93" s="134">
        <v>24317.88</v>
      </c>
      <c r="D93" s="134">
        <v>1774.0840000000001</v>
      </c>
      <c r="E93" s="134">
        <v>18206.240000000002</v>
      </c>
      <c r="F93" s="135">
        <v>0</v>
      </c>
    </row>
    <row r="94" spans="1:6" x14ac:dyDescent="0.2">
      <c r="A94" s="193" t="s">
        <v>160</v>
      </c>
      <c r="B94" s="43" t="s">
        <v>139</v>
      </c>
      <c r="C94" s="129">
        <v>774173.67</v>
      </c>
      <c r="D94" s="129">
        <v>212443.25700000001</v>
      </c>
      <c r="E94" s="129">
        <v>349981.6</v>
      </c>
      <c r="F94" s="137">
        <v>58885.47</v>
      </c>
    </row>
    <row r="95" spans="1:6" x14ac:dyDescent="0.2">
      <c r="A95" s="193"/>
      <c r="B95" s="43" t="s">
        <v>137</v>
      </c>
      <c r="C95" s="129">
        <v>4873939.74</v>
      </c>
      <c r="D95" s="129">
        <v>1798949.9909999999</v>
      </c>
      <c r="E95" s="129">
        <v>1571300.76</v>
      </c>
      <c r="F95" s="137">
        <v>448979.13</v>
      </c>
    </row>
    <row r="96" spans="1:6" ht="17" thickBot="1" x14ac:dyDescent="0.25">
      <c r="A96" s="193"/>
      <c r="B96" s="43" t="s">
        <v>143</v>
      </c>
      <c r="C96" s="129">
        <v>58285.09</v>
      </c>
      <c r="D96" s="129">
        <v>8699.5550000000003</v>
      </c>
      <c r="E96" s="129">
        <v>19163.39</v>
      </c>
      <c r="F96" s="137">
        <v>15460.15</v>
      </c>
    </row>
    <row r="97" spans="1:6" x14ac:dyDescent="0.2">
      <c r="A97" s="189" t="s">
        <v>161</v>
      </c>
      <c r="B97" s="125" t="s">
        <v>139</v>
      </c>
      <c r="C97" s="131">
        <v>1977431.43</v>
      </c>
      <c r="D97" s="131">
        <v>783922.86</v>
      </c>
      <c r="E97" s="131">
        <v>649018.30000000005</v>
      </c>
      <c r="F97" s="132">
        <v>210060.32</v>
      </c>
    </row>
    <row r="98" spans="1:6" x14ac:dyDescent="0.2">
      <c r="A98" s="190"/>
      <c r="B98" s="126" t="s">
        <v>137</v>
      </c>
      <c r="C98" s="133">
        <v>3635077.4</v>
      </c>
      <c r="D98" s="133">
        <v>1210141.3</v>
      </c>
      <c r="E98" s="133">
        <v>1274278.48</v>
      </c>
      <c r="F98" s="130">
        <v>266889.93</v>
      </c>
    </row>
    <row r="99" spans="1:6" ht="17" thickBot="1" x14ac:dyDescent="0.25">
      <c r="A99" s="191"/>
      <c r="B99" s="127" t="s">
        <v>143</v>
      </c>
      <c r="C99" s="134">
        <v>91261.85</v>
      </c>
      <c r="D99" s="134">
        <v>21228.03</v>
      </c>
      <c r="E99" s="134">
        <v>17148.98</v>
      </c>
      <c r="F99" s="135">
        <v>48547.28</v>
      </c>
    </row>
    <row r="100" spans="1:6" x14ac:dyDescent="0.2">
      <c r="A100" s="193" t="s">
        <v>162</v>
      </c>
      <c r="B100" s="43" t="s">
        <v>139</v>
      </c>
      <c r="C100" s="129">
        <v>2689643.51</v>
      </c>
      <c r="D100" s="129">
        <v>1182868.328</v>
      </c>
      <c r="E100" s="129">
        <v>825788.4</v>
      </c>
      <c r="F100" s="137">
        <v>349734.7</v>
      </c>
    </row>
    <row r="101" spans="1:6" x14ac:dyDescent="0.2">
      <c r="A101" s="193"/>
      <c r="B101" s="43" t="s">
        <v>137</v>
      </c>
      <c r="C101" s="129">
        <v>2984161.78</v>
      </c>
      <c r="D101" s="129">
        <v>835450.39099999995</v>
      </c>
      <c r="E101" s="129">
        <v>1084074.57</v>
      </c>
      <c r="F101" s="137">
        <v>177691.3</v>
      </c>
    </row>
    <row r="102" spans="1:6" ht="17" thickBot="1" x14ac:dyDescent="0.25">
      <c r="A102" s="193"/>
      <c r="B102" s="43" t="s">
        <v>143</v>
      </c>
      <c r="C102" s="129">
        <v>36694.43</v>
      </c>
      <c r="D102" s="129">
        <v>1774.0840000000001</v>
      </c>
      <c r="E102" s="129">
        <v>30582.79</v>
      </c>
      <c r="F102" s="137">
        <v>0</v>
      </c>
    </row>
    <row r="103" spans="1:6" x14ac:dyDescent="0.2">
      <c r="A103" s="189" t="s">
        <v>163</v>
      </c>
      <c r="B103" s="125" t="s">
        <v>139</v>
      </c>
      <c r="C103" s="131">
        <v>3884655.81</v>
      </c>
      <c r="D103" s="131">
        <v>1468059.64</v>
      </c>
      <c r="E103" s="131">
        <v>1337587.49</v>
      </c>
      <c r="F103" s="132">
        <v>383581.88</v>
      </c>
    </row>
    <row r="104" spans="1:6" x14ac:dyDescent="0.2">
      <c r="A104" s="190"/>
      <c r="B104" s="126" t="s">
        <v>137</v>
      </c>
      <c r="C104" s="133">
        <v>1760253.47</v>
      </c>
      <c r="D104" s="133">
        <v>525878.97</v>
      </c>
      <c r="E104" s="133">
        <v>581291.21</v>
      </c>
      <c r="F104" s="130">
        <v>132621.85999999999</v>
      </c>
    </row>
    <row r="105" spans="1:6" ht="17" thickBot="1" x14ac:dyDescent="0.25">
      <c r="A105" s="191"/>
      <c r="B105" s="127" t="s">
        <v>143</v>
      </c>
      <c r="C105" s="134">
        <v>64225.97</v>
      </c>
      <c r="D105" s="134">
        <v>24789.71</v>
      </c>
      <c r="E105" s="134">
        <v>21567.06</v>
      </c>
      <c r="F105" s="135">
        <v>11222.24</v>
      </c>
    </row>
    <row r="106" spans="1:6" x14ac:dyDescent="0.2">
      <c r="A106" s="193" t="s">
        <v>164</v>
      </c>
      <c r="B106" s="43" t="s">
        <v>139</v>
      </c>
      <c r="C106" s="129">
        <v>2955826.7</v>
      </c>
      <c r="D106" s="129">
        <v>1117549</v>
      </c>
      <c r="E106" s="129">
        <v>901858.92</v>
      </c>
      <c r="F106" s="137">
        <v>245907.39</v>
      </c>
    </row>
    <row r="107" spans="1:6" x14ac:dyDescent="0.2">
      <c r="A107" s="193"/>
      <c r="B107" s="43" t="s">
        <v>137</v>
      </c>
      <c r="C107" s="129">
        <v>2608656.7999999998</v>
      </c>
      <c r="D107" s="129">
        <v>865414.56</v>
      </c>
      <c r="E107" s="129">
        <v>985522.94</v>
      </c>
      <c r="F107" s="137">
        <v>234709.3</v>
      </c>
    </row>
    <row r="108" spans="1:6" ht="17" thickBot="1" x14ac:dyDescent="0.25">
      <c r="A108" s="193"/>
      <c r="B108" s="43" t="s">
        <v>143</v>
      </c>
      <c r="C108" s="129">
        <v>146016.20000000001</v>
      </c>
      <c r="D108" s="129">
        <v>37129.25</v>
      </c>
      <c r="E108" s="129">
        <v>53063.89</v>
      </c>
      <c r="F108" s="137">
        <v>46809.29</v>
      </c>
    </row>
    <row r="109" spans="1:6" x14ac:dyDescent="0.2">
      <c r="A109" s="189" t="s">
        <v>165</v>
      </c>
      <c r="B109" s="125" t="s">
        <v>139</v>
      </c>
      <c r="C109" s="131">
        <v>2438507.7000000002</v>
      </c>
      <c r="D109" s="131">
        <v>920678.9</v>
      </c>
      <c r="E109" s="131">
        <v>819644.94</v>
      </c>
      <c r="F109" s="132">
        <v>177318.77</v>
      </c>
    </row>
    <row r="110" spans="1:6" x14ac:dyDescent="0.2">
      <c r="A110" s="190"/>
      <c r="B110" s="126" t="s">
        <v>137</v>
      </c>
      <c r="C110" s="133">
        <v>3021576.5</v>
      </c>
      <c r="D110" s="133">
        <v>1035652.3</v>
      </c>
      <c r="E110" s="133">
        <v>1039410.7</v>
      </c>
      <c r="F110" s="130">
        <v>273307</v>
      </c>
    </row>
    <row r="111" spans="1:6" ht="17" thickBot="1" x14ac:dyDescent="0.25">
      <c r="A111" s="191"/>
      <c r="B111" s="127" t="s">
        <v>143</v>
      </c>
      <c r="C111" s="134">
        <v>250415.5</v>
      </c>
      <c r="D111" s="134">
        <v>63761.599999999999</v>
      </c>
      <c r="E111" s="134">
        <v>81390.12</v>
      </c>
      <c r="F111" s="135">
        <v>76800.210000000006</v>
      </c>
    </row>
    <row r="112" spans="1:6" x14ac:dyDescent="0.2">
      <c r="A112" s="193" t="s">
        <v>166</v>
      </c>
      <c r="B112" s="43" t="s">
        <v>139</v>
      </c>
      <c r="C112" s="129">
        <v>3388302.12</v>
      </c>
      <c r="D112" s="129">
        <v>1418875.686</v>
      </c>
      <c r="E112" s="129">
        <v>1134166.3999999999</v>
      </c>
      <c r="F112" s="137">
        <v>362177.8</v>
      </c>
    </row>
    <row r="113" spans="1:6" x14ac:dyDescent="0.2">
      <c r="A113" s="193"/>
      <c r="B113" s="43" t="s">
        <v>137</v>
      </c>
      <c r="C113" s="129">
        <v>2261222.7000000002</v>
      </c>
      <c r="D113" s="129">
        <v>598613.14</v>
      </c>
      <c r="E113" s="129">
        <v>754581.7</v>
      </c>
      <c r="F113" s="137">
        <v>165248.1</v>
      </c>
    </row>
    <row r="114" spans="1:6" ht="17" thickBot="1" x14ac:dyDescent="0.25">
      <c r="A114" s="193"/>
      <c r="B114" s="43" t="s">
        <v>143</v>
      </c>
      <c r="C114" s="129">
        <v>60974.91</v>
      </c>
      <c r="D114" s="129">
        <v>2603.9769999999999</v>
      </c>
      <c r="E114" s="129">
        <v>51697.7</v>
      </c>
      <c r="F114" s="137">
        <v>0</v>
      </c>
    </row>
    <row r="115" spans="1:6" x14ac:dyDescent="0.2">
      <c r="A115" s="189" t="s">
        <v>155</v>
      </c>
      <c r="B115" s="125" t="s">
        <v>139</v>
      </c>
      <c r="C115" s="131">
        <v>211707.4</v>
      </c>
      <c r="D115" s="131">
        <v>57610.43</v>
      </c>
      <c r="E115" s="131">
        <v>82536.86</v>
      </c>
      <c r="F115" s="132">
        <v>10143.67</v>
      </c>
    </row>
    <row r="116" spans="1:6" ht="17" thickBot="1" x14ac:dyDescent="0.25">
      <c r="A116" s="191"/>
      <c r="B116" s="127" t="s">
        <v>137</v>
      </c>
      <c r="C116" s="134">
        <v>5439625.7000000002</v>
      </c>
      <c r="D116" s="134">
        <v>1959878.39</v>
      </c>
      <c r="E116" s="134">
        <v>1806211.19</v>
      </c>
      <c r="F116" s="135">
        <v>517282.31</v>
      </c>
    </row>
  </sheetData>
  <mergeCells count="37">
    <mergeCell ref="A115:A116"/>
    <mergeCell ref="A97:A99"/>
    <mergeCell ref="A100:A102"/>
    <mergeCell ref="A103:A105"/>
    <mergeCell ref="A106:A108"/>
    <mergeCell ref="A109:A111"/>
    <mergeCell ref="A112:A114"/>
    <mergeCell ref="A94:A96"/>
    <mergeCell ref="A59:A61"/>
    <mergeCell ref="A62:A64"/>
    <mergeCell ref="A65:A67"/>
    <mergeCell ref="A68:A70"/>
    <mergeCell ref="A71:A73"/>
    <mergeCell ref="A74:A76"/>
    <mergeCell ref="A77:A78"/>
    <mergeCell ref="A82:A84"/>
    <mergeCell ref="A85:A87"/>
    <mergeCell ref="A88:A90"/>
    <mergeCell ref="A91:A93"/>
    <mergeCell ref="A56:A58"/>
    <mergeCell ref="A21:A23"/>
    <mergeCell ref="A24:A26"/>
    <mergeCell ref="A27:A29"/>
    <mergeCell ref="A30:A32"/>
    <mergeCell ref="A33:A35"/>
    <mergeCell ref="A36:A37"/>
    <mergeCell ref="A41:A43"/>
    <mergeCell ref="A44:A46"/>
    <mergeCell ref="A47:A49"/>
    <mergeCell ref="A50:A52"/>
    <mergeCell ref="A53:A55"/>
    <mergeCell ref="A18:A20"/>
    <mergeCell ref="A3:A5"/>
    <mergeCell ref="A6:A8"/>
    <mergeCell ref="A9:A11"/>
    <mergeCell ref="A12:A14"/>
    <mergeCell ref="A15:A17"/>
  </mergeCells>
  <conditionalFormatting sqref="C38:F38">
    <cfRule type="colorScale" priority="22">
      <colorScale>
        <cfvo type="min"/>
        <cfvo type="max"/>
        <color rgb="FFFFEF9C"/>
        <color rgb="FF63BE7B"/>
      </colorScale>
    </cfRule>
  </conditionalFormatting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5CC86F-FB03-7D4A-A280-CC95304101F3}">
  <dimension ref="A1:O38"/>
  <sheetViews>
    <sheetView workbookViewId="0">
      <selection activeCell="J42" sqref="J42"/>
    </sheetView>
  </sheetViews>
  <sheetFormatPr baseColWidth="10" defaultRowHeight="16" x14ac:dyDescent="0.2"/>
  <cols>
    <col min="1" max="1" width="10.83203125" style="124"/>
    <col min="2" max="2" width="9.6640625" style="124" bestFit="1" customWidth="1"/>
    <col min="3" max="3" width="10.5" style="124" bestFit="1" customWidth="1"/>
    <col min="4" max="5" width="5.1640625" style="124" bestFit="1" customWidth="1"/>
    <col min="6" max="7" width="11.83203125" style="124" bestFit="1" customWidth="1"/>
    <col min="8" max="10" width="10.83203125" style="124"/>
    <col min="11" max="11" width="15.1640625" style="124" bestFit="1" customWidth="1"/>
    <col min="12" max="12" width="27.1640625" style="124" customWidth="1"/>
    <col min="13" max="13" width="21.83203125" style="124" bestFit="1" customWidth="1"/>
    <col min="14" max="14" width="38" style="124" customWidth="1"/>
    <col min="15" max="16384" width="10.83203125" style="124"/>
  </cols>
  <sheetData>
    <row r="1" spans="1:15" ht="32" x14ac:dyDescent="0.4">
      <c r="A1" s="160" t="s">
        <v>379</v>
      </c>
    </row>
    <row r="2" spans="1:15" x14ac:dyDescent="0.2">
      <c r="K2" s="36" t="s">
        <v>401</v>
      </c>
      <c r="L2" s="36" t="s">
        <v>380</v>
      </c>
      <c r="M2" s="36" t="s">
        <v>381</v>
      </c>
      <c r="N2" s="36" t="s">
        <v>382</v>
      </c>
      <c r="O2" s="36" t="s">
        <v>383</v>
      </c>
    </row>
    <row r="3" spans="1:15" ht="36" x14ac:dyDescent="0.3">
      <c r="A3" s="161" t="s">
        <v>396</v>
      </c>
      <c r="K3" s="36" t="s">
        <v>384</v>
      </c>
      <c r="L3" s="25" t="s">
        <v>402</v>
      </c>
      <c r="M3" s="25" t="s">
        <v>403</v>
      </c>
      <c r="N3" s="162" t="s">
        <v>392</v>
      </c>
      <c r="O3" s="36">
        <v>9742</v>
      </c>
    </row>
    <row r="4" spans="1:15" ht="34" x14ac:dyDescent="0.2">
      <c r="A4" s="36" t="s">
        <v>360</v>
      </c>
      <c r="B4" s="36" t="s">
        <v>261</v>
      </c>
      <c r="C4" s="36" t="s">
        <v>361</v>
      </c>
      <c r="D4" s="36" t="s">
        <v>362</v>
      </c>
      <c r="E4" s="36" t="s">
        <v>377</v>
      </c>
      <c r="F4" s="36" t="s">
        <v>363</v>
      </c>
      <c r="G4" s="36" t="s">
        <v>364</v>
      </c>
      <c r="K4" s="36" t="s">
        <v>361</v>
      </c>
      <c r="L4" s="25" t="s">
        <v>385</v>
      </c>
      <c r="M4" s="25" t="s">
        <v>406</v>
      </c>
      <c r="N4" s="162" t="s">
        <v>392</v>
      </c>
      <c r="O4" s="36">
        <v>5563</v>
      </c>
    </row>
    <row r="5" spans="1:15" ht="34" x14ac:dyDescent="0.2">
      <c r="A5" s="14" t="s">
        <v>21</v>
      </c>
      <c r="B5" s="14">
        <v>3531</v>
      </c>
      <c r="C5" s="14">
        <v>1656</v>
      </c>
      <c r="D5" s="14">
        <v>524</v>
      </c>
      <c r="E5" s="14">
        <v>885</v>
      </c>
      <c r="F5" s="14">
        <v>1217</v>
      </c>
      <c r="G5" s="14">
        <v>1837</v>
      </c>
      <c r="K5" s="36" t="s">
        <v>362</v>
      </c>
      <c r="L5" s="25" t="s">
        <v>386</v>
      </c>
      <c r="M5" s="25" t="s">
        <v>387</v>
      </c>
      <c r="N5" s="162" t="s">
        <v>393</v>
      </c>
      <c r="O5" s="36">
        <v>1957</v>
      </c>
    </row>
    <row r="6" spans="1:15" ht="34" x14ac:dyDescent="0.2">
      <c r="A6" s="14" t="s">
        <v>365</v>
      </c>
      <c r="B6" s="14">
        <v>4878</v>
      </c>
      <c r="C6" s="14">
        <v>3128</v>
      </c>
      <c r="D6" s="14">
        <v>1141</v>
      </c>
      <c r="E6" s="14">
        <v>1133</v>
      </c>
      <c r="F6" s="14">
        <v>907</v>
      </c>
      <c r="G6" s="14">
        <v>1528</v>
      </c>
      <c r="K6" s="36" t="s">
        <v>377</v>
      </c>
      <c r="L6" s="25" t="s">
        <v>388</v>
      </c>
      <c r="M6" s="25" t="s">
        <v>389</v>
      </c>
      <c r="N6" s="162" t="s">
        <v>394</v>
      </c>
      <c r="O6" s="36">
        <v>2330</v>
      </c>
    </row>
    <row r="7" spans="1:15" ht="34" x14ac:dyDescent="0.2">
      <c r="A7" s="14" t="s">
        <v>22</v>
      </c>
      <c r="B7" s="14">
        <v>1333</v>
      </c>
      <c r="C7" s="14">
        <v>779</v>
      </c>
      <c r="D7" s="14">
        <v>292</v>
      </c>
      <c r="E7" s="14">
        <v>312</v>
      </c>
      <c r="F7" s="14">
        <v>394</v>
      </c>
      <c r="G7" s="14">
        <v>602</v>
      </c>
      <c r="K7" s="36" t="s">
        <v>363</v>
      </c>
      <c r="L7" s="25" t="s">
        <v>390</v>
      </c>
      <c r="M7" s="25" t="s">
        <v>404</v>
      </c>
      <c r="N7" s="162" t="s">
        <v>395</v>
      </c>
      <c r="O7" s="36">
        <v>2518</v>
      </c>
    </row>
    <row r="8" spans="1:15" ht="34" x14ac:dyDescent="0.2">
      <c r="K8" s="36" t="s">
        <v>364</v>
      </c>
      <c r="L8" s="25" t="s">
        <v>391</v>
      </c>
      <c r="M8" s="25" t="s">
        <v>405</v>
      </c>
      <c r="N8" s="162" t="s">
        <v>395</v>
      </c>
      <c r="O8" s="36">
        <v>3967</v>
      </c>
    </row>
    <row r="9" spans="1:15" ht="24" x14ac:dyDescent="0.3">
      <c r="A9" s="161" t="s">
        <v>397</v>
      </c>
    </row>
    <row r="11" spans="1:15" x14ac:dyDescent="0.2">
      <c r="A11" s="36" t="s">
        <v>360</v>
      </c>
      <c r="B11" s="36" t="s">
        <v>261</v>
      </c>
      <c r="C11" s="36" t="s">
        <v>361</v>
      </c>
      <c r="D11" s="36" t="s">
        <v>362</v>
      </c>
      <c r="E11" s="36" t="s">
        <v>377</v>
      </c>
      <c r="F11" s="36" t="s">
        <v>363</v>
      </c>
      <c r="G11" s="36" t="s">
        <v>364</v>
      </c>
    </row>
    <row r="12" spans="1:15" x14ac:dyDescent="0.2">
      <c r="A12" s="14" t="s">
        <v>239</v>
      </c>
      <c r="B12" s="14">
        <v>3012</v>
      </c>
      <c r="C12" s="14">
        <v>1845</v>
      </c>
      <c r="D12" s="14">
        <v>728</v>
      </c>
      <c r="E12" s="14">
        <v>711</v>
      </c>
      <c r="F12" s="14">
        <v>785</v>
      </c>
      <c r="G12" s="14">
        <v>1243</v>
      </c>
    </row>
    <row r="13" spans="1:15" x14ac:dyDescent="0.2">
      <c r="A13" s="14" t="s">
        <v>168</v>
      </c>
      <c r="B13" s="14">
        <v>6305</v>
      </c>
      <c r="C13" s="14">
        <v>3557</v>
      </c>
      <c r="D13" s="14">
        <v>1138</v>
      </c>
      <c r="E13" s="14">
        <v>1482</v>
      </c>
      <c r="F13" s="14">
        <v>1532</v>
      </c>
      <c r="G13" s="14">
        <v>2442</v>
      </c>
    </row>
    <row r="14" spans="1:15" x14ac:dyDescent="0.2">
      <c r="A14" s="14" t="s">
        <v>87</v>
      </c>
      <c r="B14" s="14">
        <v>425</v>
      </c>
      <c r="C14" s="14">
        <v>161</v>
      </c>
      <c r="D14" s="14">
        <v>91</v>
      </c>
      <c r="E14" s="14">
        <v>137</v>
      </c>
      <c r="F14" s="14">
        <v>201</v>
      </c>
      <c r="G14" s="14">
        <v>282</v>
      </c>
    </row>
    <row r="15" spans="1:15" ht="15" customHeight="1" x14ac:dyDescent="0.2"/>
    <row r="16" spans="1:15" ht="24" x14ac:dyDescent="0.3">
      <c r="A16" s="161" t="s">
        <v>398</v>
      </c>
    </row>
    <row r="18" spans="1:7" x14ac:dyDescent="0.2">
      <c r="A18" s="36" t="s">
        <v>360</v>
      </c>
      <c r="B18" s="36" t="s">
        <v>261</v>
      </c>
      <c r="C18" s="36" t="s">
        <v>361</v>
      </c>
      <c r="D18" s="36" t="s">
        <v>362</v>
      </c>
      <c r="E18" s="36" t="s">
        <v>377</v>
      </c>
      <c r="F18" s="36" t="s">
        <v>363</v>
      </c>
      <c r="G18" s="36" t="s">
        <v>364</v>
      </c>
    </row>
    <row r="19" spans="1:7" x14ac:dyDescent="0.2">
      <c r="A19" s="14" t="s">
        <v>366</v>
      </c>
      <c r="B19" s="14">
        <v>4271</v>
      </c>
      <c r="C19" s="14">
        <v>3735</v>
      </c>
      <c r="D19" s="14">
        <v>1039</v>
      </c>
      <c r="E19" s="14">
        <v>553</v>
      </c>
      <c r="F19" s="14">
        <v>0</v>
      </c>
      <c r="G19" s="14">
        <v>0</v>
      </c>
    </row>
    <row r="20" spans="1:7" x14ac:dyDescent="0.2">
      <c r="A20" s="14" t="s">
        <v>367</v>
      </c>
      <c r="B20" s="14">
        <v>2988</v>
      </c>
      <c r="C20" s="14">
        <v>1828</v>
      </c>
      <c r="D20" s="14">
        <v>601</v>
      </c>
      <c r="E20" s="14">
        <v>1030</v>
      </c>
      <c r="F20" s="14">
        <v>0</v>
      </c>
      <c r="G20" s="14">
        <v>1449</v>
      </c>
    </row>
    <row r="21" spans="1:7" x14ac:dyDescent="0.2">
      <c r="A21" s="14" t="s">
        <v>368</v>
      </c>
      <c r="B21" s="14">
        <v>2483</v>
      </c>
      <c r="C21" s="14">
        <v>0</v>
      </c>
      <c r="D21" s="14">
        <v>317</v>
      </c>
      <c r="E21" s="14">
        <v>747</v>
      </c>
      <c r="F21" s="14">
        <v>2518</v>
      </c>
      <c r="G21" s="14">
        <v>2518</v>
      </c>
    </row>
    <row r="23" spans="1:7" ht="24" x14ac:dyDescent="0.3">
      <c r="A23" s="161" t="s">
        <v>399</v>
      </c>
    </row>
    <row r="25" spans="1:7" x14ac:dyDescent="0.2">
      <c r="A25" s="34" t="s">
        <v>360</v>
      </c>
      <c r="B25" s="34" t="s">
        <v>261</v>
      </c>
      <c r="C25" s="34" t="s">
        <v>361</v>
      </c>
      <c r="D25" s="34" t="s">
        <v>362</v>
      </c>
      <c r="E25" s="34" t="s">
        <v>377</v>
      </c>
      <c r="F25" s="34" t="s">
        <v>363</v>
      </c>
      <c r="G25" s="34" t="s">
        <v>364</v>
      </c>
    </row>
    <row r="26" spans="1:7" x14ac:dyDescent="0.2">
      <c r="A26" s="33" t="s">
        <v>369</v>
      </c>
      <c r="B26" s="33">
        <v>2257</v>
      </c>
      <c r="C26" s="33">
        <v>1582</v>
      </c>
      <c r="D26" s="33">
        <v>213</v>
      </c>
      <c r="E26" s="33">
        <v>48</v>
      </c>
      <c r="F26" s="33">
        <v>156</v>
      </c>
      <c r="G26" s="33">
        <v>242</v>
      </c>
    </row>
    <row r="27" spans="1:7" x14ac:dyDescent="0.2">
      <c r="A27" s="33" t="s">
        <v>370</v>
      </c>
      <c r="B27" s="33">
        <v>3517</v>
      </c>
      <c r="C27" s="33">
        <v>1644</v>
      </c>
      <c r="D27" s="33">
        <v>779</v>
      </c>
      <c r="E27" s="33">
        <v>1234</v>
      </c>
      <c r="F27" s="33">
        <v>1298</v>
      </c>
      <c r="G27" s="33">
        <v>2012</v>
      </c>
    </row>
    <row r="28" spans="1:7" x14ac:dyDescent="0.2">
      <c r="A28" s="33" t="s">
        <v>371</v>
      </c>
      <c r="B28" s="33">
        <v>2608</v>
      </c>
      <c r="C28" s="33">
        <v>1733</v>
      </c>
      <c r="D28" s="33">
        <v>619</v>
      </c>
      <c r="E28" s="33">
        <v>683</v>
      </c>
      <c r="F28" s="33">
        <v>490</v>
      </c>
      <c r="G28" s="33">
        <v>920</v>
      </c>
    </row>
    <row r="29" spans="1:7" x14ac:dyDescent="0.2">
      <c r="A29" s="33" t="s">
        <v>378</v>
      </c>
      <c r="B29" s="33">
        <v>1360</v>
      </c>
      <c r="C29" s="33">
        <v>604</v>
      </c>
      <c r="D29" s="33">
        <v>346</v>
      </c>
      <c r="E29" s="33">
        <v>365</v>
      </c>
      <c r="F29" s="33">
        <v>574</v>
      </c>
      <c r="G29" s="33">
        <v>793</v>
      </c>
    </row>
    <row r="31" spans="1:7" ht="24" x14ac:dyDescent="0.3">
      <c r="A31" s="161" t="s">
        <v>400</v>
      </c>
    </row>
    <row r="33" spans="1:7" x14ac:dyDescent="0.2">
      <c r="A33" s="36" t="s">
        <v>360</v>
      </c>
      <c r="B33" s="36" t="s">
        <v>261</v>
      </c>
      <c r="C33" s="36" t="s">
        <v>361</v>
      </c>
      <c r="D33" s="36" t="s">
        <v>362</v>
      </c>
      <c r="E33" s="36" t="s">
        <v>377</v>
      </c>
      <c r="F33" s="36" t="s">
        <v>363</v>
      </c>
      <c r="G33" s="36" t="s">
        <v>364</v>
      </c>
    </row>
    <row r="34" spans="1:7" x14ac:dyDescent="0.2">
      <c r="A34" s="14" t="s">
        <v>372</v>
      </c>
      <c r="B34" s="14">
        <v>1921</v>
      </c>
      <c r="C34" s="14">
        <v>1110</v>
      </c>
      <c r="D34" s="14">
        <v>347</v>
      </c>
      <c r="E34" s="14">
        <v>508</v>
      </c>
      <c r="F34" s="14">
        <v>479</v>
      </c>
      <c r="G34" s="14">
        <v>772</v>
      </c>
    </row>
    <row r="35" spans="1:7" x14ac:dyDescent="0.2">
      <c r="A35" s="14" t="s">
        <v>373</v>
      </c>
      <c r="B35" s="14">
        <v>1899</v>
      </c>
      <c r="C35" s="14">
        <v>1099</v>
      </c>
      <c r="D35" s="14">
        <v>378</v>
      </c>
      <c r="E35" s="14">
        <v>401</v>
      </c>
      <c r="F35" s="14">
        <v>469</v>
      </c>
      <c r="G35" s="14">
        <v>733</v>
      </c>
    </row>
    <row r="36" spans="1:7" x14ac:dyDescent="0.2">
      <c r="A36" s="14" t="s">
        <v>374</v>
      </c>
      <c r="B36" s="14">
        <v>1536</v>
      </c>
      <c r="C36" s="14">
        <v>922</v>
      </c>
      <c r="D36" s="14">
        <v>256</v>
      </c>
      <c r="E36" s="14">
        <v>325</v>
      </c>
      <c r="F36" s="14">
        <v>341</v>
      </c>
      <c r="G36" s="14">
        <v>561</v>
      </c>
    </row>
    <row r="37" spans="1:7" x14ac:dyDescent="0.2">
      <c r="A37" s="14" t="s">
        <v>375</v>
      </c>
      <c r="B37" s="14">
        <v>2114</v>
      </c>
      <c r="C37" s="14">
        <v>1187</v>
      </c>
      <c r="D37" s="14">
        <v>452</v>
      </c>
      <c r="E37" s="14">
        <v>496</v>
      </c>
      <c r="F37" s="14">
        <v>580</v>
      </c>
      <c r="G37" s="14">
        <v>901</v>
      </c>
    </row>
    <row r="38" spans="1:7" x14ac:dyDescent="0.2">
      <c r="A38" s="14" t="s">
        <v>376</v>
      </c>
      <c r="B38" s="14">
        <v>2272</v>
      </c>
      <c r="C38" s="14">
        <v>1245</v>
      </c>
      <c r="D38" s="14">
        <v>524</v>
      </c>
      <c r="E38" s="14">
        <v>600</v>
      </c>
      <c r="F38" s="14">
        <v>649</v>
      </c>
      <c r="G38" s="14">
        <v>1000</v>
      </c>
    </row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Planilhas</vt:lpstr>
      </vt:variant>
      <vt:variant>
        <vt:i4>16</vt:i4>
      </vt:variant>
    </vt:vector>
  </HeadingPairs>
  <TitlesOfParts>
    <vt:vector size="16" baseType="lpstr">
      <vt:lpstr>parity</vt:lpstr>
      <vt:lpstr>PPR tidos</vt:lpstr>
      <vt:lpstr>PPR desejados</vt:lpstr>
      <vt:lpstr>mulheres</vt:lpstr>
      <vt:lpstr>resumo</vt:lpstr>
      <vt:lpstr>PPR Resumo</vt:lpstr>
      <vt:lpstr>summary</vt:lpstr>
      <vt:lpstr>Planilha1</vt:lpstr>
      <vt:lpstr>reasons_children</vt:lpstr>
      <vt:lpstr>achived x desired</vt:lpstr>
      <vt:lpstr>nascidos</vt:lpstr>
      <vt:lpstr>desejados</vt:lpstr>
      <vt:lpstr>mean of cheldren</vt:lpstr>
      <vt:lpstr>regression</vt:lpstr>
      <vt:lpstr>n_reasons_children</vt:lpstr>
      <vt:lpstr>n_summary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Gretta Rossi Ferreira</dc:creator>
  <cp:lastModifiedBy>Gretta Rossi Ferreira</cp:lastModifiedBy>
  <dcterms:created xsi:type="dcterms:W3CDTF">2025-10-20T09:46:21Z</dcterms:created>
  <dcterms:modified xsi:type="dcterms:W3CDTF">2026-02-15T18:36:57Z</dcterms:modified>
</cp:coreProperties>
</file>